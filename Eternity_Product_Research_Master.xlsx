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duct Master" sheetId="2" state="visible" r:id="rId2"/>
    <sheet xmlns:r="http://schemas.openxmlformats.org/officeDocument/2006/relationships" name="Unit Economics" sheetId="3" state="visible" r:id="rId3"/>
    <sheet xmlns:r="http://schemas.openxmlformats.org/officeDocument/2006/relationships" name="Margin Vault INTERNAL" sheetId="4" state="visible" r:id="rId4"/>
    <sheet xmlns:r="http://schemas.openxmlformats.org/officeDocument/2006/relationships" name="Salon Community CRM" sheetId="5" state="visible" r:id="rId5"/>
    <sheet xmlns:r="http://schemas.openxmlformats.org/officeDocument/2006/relationships" name="Channel Reality NP" sheetId="6" state="visible" r:id="rId6"/>
    <sheet xmlns:r="http://schemas.openxmlformats.org/officeDocument/2006/relationships" name="90-Day Launch Plan" sheetId="7" state="visible" r:id="rId7"/>
    <sheet xmlns:r="http://schemas.openxmlformats.org/officeDocument/2006/relationships" name="Inventory &amp; Reorder" sheetId="8" state="visible" r:id="rId8"/>
    <sheet xmlns:r="http://schemas.openxmlformats.org/officeDocument/2006/relationships" name="Sources" sheetId="9" state="visible" r:id="rId9"/>
  </sheets>
  <definedNames>
    <definedName name="FX_PEG">'Unit Economics'!$B$5</definedName>
    <definedName name="LANDED_MULT">'Unit Economics'!$B$6</definedName>
    <definedName name="DIST_TOOL">'Unit Economics'!$B$11</definedName>
    <definedName name="DIST_FURN">'Unit Economics'!$B$12</definedName>
    <definedName name="_xlnm._FilterDatabase" localSheetId="1" hidden="1">'Product Master'!$A$4:$W$201</definedName>
    <definedName name="_xlnm._FilterDatabase" localSheetId="3" hidden="1">'Margin Vault INTERNAL'!$A$5:$G$5</definedName>
    <definedName name="_xlnm._FilterDatabase" localSheetId="4" hidden="1">'Salon Community CRM'!$A$4:$S$64</definedName>
    <definedName name="_xlnm._FilterDatabase" localSheetId="5" hidden="1">'Channel Reality NP'!$A$4:$E$4</definedName>
    <definedName name="_xlnm._FilterDatabase" localSheetId="6" hidden="1">'90-Day Launch Plan'!$A$4:$G$4</definedName>
    <definedName name="_xlnm._FilterDatabase" localSheetId="7" hidden="1">'Inventory &amp; Reorder'!$A$4:$L$4</definedName>
    <definedName name="_xlnm._FilterDatabase" localSheetId="8" hidden="1">'Sources'!$A$4:$E$4</definedName>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8">
    <font>
      <name val="Calibri"/>
      <family val="2"/>
      <color theme="1"/>
      <sz val="11"/>
      <scheme val="minor"/>
    </font>
    <font>
      <name val="Arial"/>
      <b val="1"/>
      <color rgb="FF1F3A5F"/>
      <sz val="16"/>
    </font>
    <font>
      <name val="Arial"/>
      <color rgb="FF555555"/>
      <sz val="9"/>
    </font>
    <font>
      <name val="Arial"/>
      <b val="1"/>
      <color rgb="FF1F3A5F"/>
      <sz val="11"/>
    </font>
    <font>
      <name val="Arial"/>
      <b val="1"/>
      <sz val="9"/>
    </font>
    <font>
      <name val="Arial"/>
      <sz val="9"/>
    </font>
    <font>
      <name val="Arial"/>
      <b val="1"/>
      <color rgb="FFFFFFFF"/>
      <sz val="9"/>
    </font>
    <font>
      <name val="Arial"/>
      <b val="1"/>
      <color rgb="FF9B1C1C"/>
      <sz val="10"/>
    </font>
  </fonts>
  <fills count="7">
    <fill>
      <patternFill/>
    </fill>
    <fill>
      <patternFill patternType="gray125"/>
    </fill>
    <fill>
      <patternFill patternType="solid">
        <fgColor rgb="FFE8F5E9"/>
      </patternFill>
    </fill>
    <fill>
      <patternFill patternType="solid">
        <fgColor rgb="FFFDE7E7"/>
      </patternFill>
    </fill>
    <fill>
      <patternFill patternType="solid">
        <fgColor rgb="FF1F3A5F"/>
      </patternFill>
    </fill>
    <fill>
      <patternFill patternType="solid">
        <fgColor rgb="FFF2F2F2"/>
      </patternFill>
    </fill>
    <fill>
      <patternFill patternType="solid">
        <fgColor rgb="FFDCE9F7"/>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2" fillId="0"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vertical="top" wrapText="1"/>
    </xf>
    <xf numFmtId="0" fontId="5" fillId="0" borderId="1" applyAlignment="1" pivotButton="0" quotePrefix="0" xfId="0">
      <alignment vertical="top"/>
    </xf>
    <xf numFmtId="3" fontId="5" fillId="0" borderId="1" applyAlignment="1" pivotButton="0" quotePrefix="0" xfId="0">
      <alignment vertical="top"/>
    </xf>
    <xf numFmtId="0" fontId="5" fillId="2" borderId="1" applyAlignment="1" pivotButton="0" quotePrefix="0" xfId="0">
      <alignment vertical="top"/>
    </xf>
    <xf numFmtId="3" fontId="5" fillId="5" borderId="1" applyAlignment="1" pivotButton="0" quotePrefix="0" xfId="0">
      <alignment vertical="top"/>
    </xf>
    <xf numFmtId="164" fontId="5" fillId="6" borderId="1" applyAlignment="1" pivotButton="0" quotePrefix="0" xfId="0">
      <alignment vertical="top"/>
    </xf>
    <xf numFmtId="0" fontId="5" fillId="5" borderId="1" applyAlignment="1" pivotButton="0" quotePrefix="0" xfId="0">
      <alignment vertical="top"/>
    </xf>
    <xf numFmtId="2" fontId="5" fillId="5" borderId="1" applyAlignment="1" pivotButton="0" quotePrefix="0" xfId="0">
      <alignment vertical="top"/>
    </xf>
    <xf numFmtId="0" fontId="5" fillId="3" borderId="1" applyAlignment="1" pivotButton="0" quotePrefix="0" xfId="0">
      <alignment vertical="top"/>
    </xf>
    <xf numFmtId="3" fontId="5" fillId="6" borderId="1" applyAlignment="1" pivotButton="0" quotePrefix="0" xfId="0">
      <alignment vertical="top"/>
    </xf>
    <xf numFmtId="164" fontId="5" fillId="5" borderId="1" applyAlignment="1" pivotButton="0" quotePrefix="0" xfId="0">
      <alignment vertical="top"/>
    </xf>
    <xf numFmtId="3" fontId="4" fillId="2" borderId="1" applyAlignment="1" pivotButton="0" quotePrefix="0" xfId="0">
      <alignment vertical="top"/>
    </xf>
    <xf numFmtId="0" fontId="7" fillId="0" borderId="0" applyAlignment="1" pivotButton="0" quotePrefix="0" xfId="0">
      <alignment vertical="top"/>
    </xf>
    <xf numFmtId="165" fontId="5" fillId="5" borderId="1" applyAlignment="1" pivotButton="0" quotePrefix="0" xfId="0">
      <alignment vertical="top"/>
    </xf>
    <xf numFmtId="0" fontId="5" fillId="6" borderId="1" applyAlignment="1" pivotButton="0" quotePrefix="0" xfId="0">
      <alignment vertical="top"/>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A5F"/>
    <outlinePr summaryBelow="1" summaryRight="1"/>
    <pageSetUpPr/>
  </sheetPr>
  <dimension ref="A1:B41"/>
  <sheetViews>
    <sheetView workbookViewId="0">
      <selection activeCell="A1" sqref="A1"/>
    </sheetView>
  </sheetViews>
  <sheetFormatPr baseColWidth="8" defaultRowHeight="15"/>
  <cols>
    <col width="34" customWidth="1" min="1" max="1"/>
    <col width="104" customWidth="1" min="2" max="2"/>
  </cols>
  <sheetData>
    <row r="1" ht="24" customHeight="1">
      <c r="A1" s="1" t="inlineStr">
        <is>
          <t>ETERNITY PRODUCTS - PRODUCT RESEARCH MASTER</t>
        </is>
      </c>
    </row>
    <row r="2" ht="15.75" customHeight="1">
      <c r="A2" s="2" t="inlineStr">
        <is>
          <t>Cosmetics, styling tools and salon equipment for Nepal  |  Built August 2026  |  Read this sheet before trusting any number in this workbook.</t>
        </is>
      </c>
    </row>
    <row r="4">
      <c r="A4" s="3" t="inlineStr">
        <is>
          <t>HOW TO READ THE PRICE CONFIDENCE COLUMN</t>
        </is>
      </c>
    </row>
    <row r="5">
      <c r="A5" s="4" t="inlineStr">
        <is>
          <t>This is the most important column in the workbook. It tells you exactly how much weight to put on each price before you commit money to stock.</t>
        </is>
      </c>
    </row>
    <row r="7" ht="28" customHeight="1">
      <c r="A7" s="5" t="inlineStr">
        <is>
          <t>VERIFIED</t>
        </is>
      </c>
      <c r="B7" s="6" t="inlineStr">
        <is>
          <t>The India list price came from the official Ikonic Shopify catalogue, and the Nepal price came from a live Daraz product page that was opened during research. Both real.</t>
        </is>
      </c>
    </row>
    <row r="8" ht="28" customHeight="1">
      <c r="A8" s="5" t="inlineStr">
        <is>
          <t>LIKELY-MATCH</t>
        </is>
      </c>
      <c r="B8" s="7" t="inlineStr">
        <is>
          <t>India SKU matched to a Daraz listing by name, but the match is not exact. Open the link and confirm it is the same model before using the price.</t>
        </is>
      </c>
    </row>
    <row r="9" ht="28" customHeight="1">
      <c r="A9" s="5" t="inlineStr">
        <is>
          <t>NO-NEPAL-LISTING</t>
        </is>
      </c>
      <c r="B9" s="6" t="inlineStr">
        <is>
          <t>Real Ikonic India product with NO equivalent listing found on Daraz Nepal. This is not a data gap - it is the opportunity. Nobody is price-anchoring you.</t>
        </is>
      </c>
    </row>
    <row r="10" ht="28" customHeight="1">
      <c r="A10" s="5" t="inlineStr">
        <is>
          <t>NEEDS-SUPPLIER-INPUT</t>
        </is>
      </c>
      <c r="B10" s="7" t="inlineStr">
        <is>
          <t>Brand you named that has no public catalogue and no Daraz presence. Row structure is ready; send the supplier price list and it fills in.</t>
        </is>
      </c>
    </row>
    <row r="12">
      <c r="A12" s="3" t="inlineStr">
        <is>
          <t>WHAT IS VERIFIED (facts, with sources on the SOURCES sheet)</t>
        </is>
      </c>
    </row>
    <row r="13" ht="28" customHeight="1">
      <c r="A13" s="5" t="inlineStr">
        <is>
          <t>Ikonic India catalogue - 320 SKUs</t>
        </is>
      </c>
      <c r="B13" s="8" t="inlineStr">
        <is>
          <t>Pulled from the official ikonicworld.com Shopify product feed. Includes list price AND MRP for every SKU, so you can see the standard India discount on each line.</t>
        </is>
      </c>
    </row>
    <row r="14" ht="28" customHeight="1">
      <c r="A14" s="5" t="inlineStr">
        <is>
          <t>Ikonic sells the salon furniture too</t>
        </is>
      </c>
      <c r="B14" s="8" t="inlineStr">
        <is>
          <t>Barber chairs INR 79,600-84,000, shampoo stations INR 54,400-64,000, pedicure station INR 200,000, spa beds, trolleys, steamers. One brand relationship covers tools AND furniture.</t>
        </is>
      </c>
    </row>
    <row r="15" ht="28" customHeight="1">
      <c r="A15" s="5" t="inlineStr">
        <is>
          <t>Nepal street price runs +17% to +53% over India list</t>
        </is>
      </c>
      <c r="B15" s="8" t="inlineStr">
        <is>
          <t>Measured across 19 SKUs matched India-to-Daraz at the 1.60 peg. That corridor is your import margin before duty, freight and VAT.</t>
        </is>
      </c>
    </row>
    <row r="16" ht="28" customHeight="1">
      <c r="A16" s="5" t="inlineStr">
        <is>
          <t>Salon furniture is effectively absent from Daraz Nepal</t>
        </is>
      </c>
      <c r="B16" s="8" t="inlineStr">
        <is>
          <t>Searches for salon chair, barber chair, pedicure chair and professional hydrafacial return office chairs and sub-NPR-2,000 consumer gadgets. No professional equipment competition.</t>
        </is>
      </c>
    </row>
    <row r="17" ht="28" customHeight="1">
      <c r="A17" s="5" t="inlineStr">
        <is>
          <t>Nepal VAT is 13%, charged on CIF + customs duty</t>
        </is>
      </c>
      <c r="B17" s="8" t="inlineStr">
        <is>
          <t>VAT = (CIF + customs duty + excise) x 13%. Duty itself is 0-80% ad valorem on CIF.</t>
        </is>
      </c>
    </row>
    <row r="18" ht="28" customHeight="1">
      <c r="A18" s="5" t="inlineStr">
        <is>
          <t>SAFTA gives India-origin goods a duty reduction</t>
        </is>
      </c>
      <c r="B18" s="8" t="inlineStr">
        <is>
          <t>Approximately 5% reduction where the base duty is 30% or less, 7% where it is above 30%. Requires a valid certificate of origin from the Indian supplier - ask for it every time.</t>
        </is>
      </c>
    </row>
    <row r="19" ht="28" customHeight="1">
      <c r="A19" s="5" t="inlineStr">
        <is>
          <t>Daraz Nepal takes commission plus a payout fee</t>
        </is>
      </c>
      <c r="B19" s="8" t="inlineStr">
        <is>
          <t>Roughly 1.7-6% on electronics and appliances, higher on other categories, plus about 1.25% payment handling. Confirm your exact rate in your own seller dashboard.</t>
        </is>
      </c>
    </row>
    <row r="21">
      <c r="A21" s="3" t="inlineStr">
        <is>
          <t>WHAT IS ESTIMATED - REPLACE THESE WITH YOUR REAL NUMBERS</t>
        </is>
      </c>
    </row>
    <row r="22" ht="28" customHeight="1">
      <c r="A22" s="5" t="inlineStr">
        <is>
          <t>INDIA-TRADE-PRICE</t>
        </is>
      </c>
      <c r="B22" s="6" t="inlineStr">
        <is>
          <t>Real India trade price found during research (7-in-1 hydrafacial). No Daraz Nepal equivalent exists at any grade, so you set the Nepal anchor.</t>
        </is>
      </c>
    </row>
    <row r="23" ht="28" customHeight="1">
      <c r="A23" s="5" t="inlineStr">
        <is>
          <t>CONFIRM-BRAND</t>
        </is>
      </c>
      <c r="B23" s="7" t="inlineStr">
        <is>
          <t>Silky India range - the closest match to the "Silk Hair" you named. Real catalogue, real prices, but CONFIRM it is your brand before ordering.</t>
        </is>
      </c>
    </row>
    <row r="24" ht="28" customHeight="1">
      <c r="A24" s="5" t="inlineStr">
        <is>
          <t>Est. Cost (NPR)</t>
        </is>
      </c>
      <c r="B24" s="8" t="inlineStr">
        <is>
          <t>Derived from your stated margin bands (25-30% tools, &gt;50% furniture), NOT from your actual supplier invoices. Overwrite the Margin % column with your real terms.</t>
        </is>
      </c>
    </row>
    <row r="25" ht="28" customHeight="1">
      <c r="A25" s="5" t="inlineStr">
        <is>
          <t>Landed Est. (NPR)</t>
        </is>
      </c>
      <c r="B25" s="8" t="inlineStr">
        <is>
          <t>India list x FX peg x landed multiplier from Unit Economics. It is a sanity check against the margin-derived cost, not a quote. Real landed cost needs your invoice.</t>
        </is>
      </c>
    </row>
    <row r="26" ht="28" customHeight="1">
      <c r="A26" s="5" t="inlineStr">
        <is>
          <t>Our Price (NPR)</t>
        </is>
      </c>
      <c r="B26" s="8" t="inlineStr">
        <is>
          <t>Recommended selling price. Anchored to Daraz where a listing exists; derived from landed cost plus target margin where it does not.</t>
        </is>
      </c>
    </row>
    <row r="27" ht="28" customHeight="1">
      <c r="A27" s="5" t="inlineStr">
        <is>
          <t>Customs duty rate</t>
        </is>
      </c>
      <c r="B27" s="8" t="inlineStr">
        <is>
          <t>Left as a blue INPUT cell on Unit Economics. Rates are per HS line and change with the annual budget. Get the exact figure from your clearing agent - do not guess.</t>
        </is>
      </c>
    </row>
    <row r="28" ht="28" customHeight="1">
      <c r="A28" s="5" t="inlineStr">
        <is>
          <t>Demand / Competition</t>
        </is>
      </c>
      <c r="B28" s="8" t="inlineStr">
        <is>
          <t>Qualitative judgement from category research plus Daraz sold-counts where visible. Not a scraped metric. Treat as direction, not data.</t>
        </is>
      </c>
    </row>
    <row r="30">
      <c r="A30" s="3" t="inlineStr">
        <is>
          <t>WHAT I COULD NOT VERIFY - SEND ME THIS</t>
        </is>
      </c>
    </row>
    <row r="31" ht="28" customHeight="1">
      <c r="A31" s="5" t="inlineStr">
        <is>
          <t>Qween  (Colour Cosmetics - Lipstick)</t>
        </is>
      </c>
      <c r="B31" s="7" t="inlineStr">
        <is>
          <t>Zero Daraz Nepal presence: a search for "qween" returns unrelated Queen-branded watches and jewellery. Whitespace category, but needs your supplier list to price.</t>
        </is>
      </c>
    </row>
    <row r="32" ht="28" customHeight="1">
      <c r="A32" s="5" t="inlineStr">
        <is>
          <t>Your actual supplier cost</t>
        </is>
      </c>
      <c r="B32" s="8" t="inlineStr">
        <is>
          <t>You have the Ikonic distributor relationship and I do not. Every cost figure here is derived from your stated margin bands. One column edit fixes the whole workbook.</t>
        </is>
      </c>
    </row>
    <row r="33" ht="28" customHeight="1">
      <c r="A33" s="5" t="inlineStr">
        <is>
          <t>Which "Silk Hair" is yours</t>
        </is>
      </c>
      <c r="B33" s="7" t="inlineStr">
        <is>
          <t>No Indian brand trades under exactly that name. Silky India (silkyhairindia.com) is the closest fit and its 23 SKUs are priced in this workbook - confirm and they go live.</t>
        </is>
      </c>
    </row>
    <row r="34" ht="28" customHeight="1">
      <c r="A34" s="5" t="inlineStr">
        <is>
          <t>Your hydrafacial supplier quote</t>
        </is>
      </c>
      <c r="B34" s="7" t="inlineStr">
        <is>
          <t>India trade price is INR 8,000-30,000 by grade and three rows are costed here. Replace with your actual FOB and Scenario D completes.</t>
        </is>
      </c>
    </row>
    <row r="35" ht="28" customHeight="1">
      <c r="A35" s="5" t="inlineStr">
        <is>
          <t>Salon chair models you stock</t>
        </is>
      </c>
      <c r="B35" s="8" t="inlineStr">
        <is>
          <t>Send the Ikonic model names you actually carry so the 66 furniture rows can be cut down to your real range.</t>
        </is>
      </c>
    </row>
    <row r="37">
      <c r="A37" s="3" t="inlineStr">
        <is>
          <t>OPS WARNINGS - ACT ON THESE</t>
        </is>
      </c>
    </row>
    <row r="38" ht="28" customHeight="1">
      <c r="A38" s="5" t="inlineStr">
        <is>
          <t>Register for VAT before you scale imports</t>
        </is>
      </c>
      <c r="B38" s="7" t="inlineStr">
        <is>
          <t>You cannot claim input VAT on imports without a VAT registration, which turns the 13% from a cost into a pass-through. This is the single biggest margin lever here.</t>
        </is>
      </c>
    </row>
    <row r="39" ht="28" customHeight="1">
      <c r="A39" s="5" t="inlineStr">
        <is>
          <t>Demand certificate of origin on every India shipment</t>
        </is>
      </c>
      <c r="B39" s="7" t="inlineStr">
        <is>
          <t>No COO means no SAFTA preference and you pay the full duty rate. Make it a standing condition on every purchase order.</t>
        </is>
      </c>
    </row>
    <row r="40" ht="28" customHeight="1">
      <c r="A40" s="5" t="inlineStr">
        <is>
          <t>Authenticity proof is your main conversion blocker</t>
        </is>
      </c>
      <c r="B40" s="7" t="inlineStr">
        <is>
          <t>"Original ho?" is the number-one objection in Nepali beauty commerce. Serial numbers, warranty cards and unboxing video are conversion tools, not paperwork.</t>
        </is>
      </c>
    </row>
    <row r="41" ht="28" customHeight="1">
      <c r="A41" s="5" t="inlineStr">
        <is>
          <t>The Margin Vault sheet is internal</t>
        </is>
      </c>
      <c r="B41" s="7" t="inlineStr">
        <is>
          <t>It carries your real cost and discount authority. Do not share this workbook with salon customers or staff who negotiate. Send them a PDF quote instead.</t>
        </is>
      </c>
    </row>
  </sheetData>
  <pageMargins left="0.75" right="0.75" top="1" bottom="1" header="0.5" footer="0.5"/>
</worksheet>
</file>

<file path=xl/worksheets/sheet2.xml><?xml version="1.0" encoding="utf-8"?>
<worksheet xmlns="http://schemas.openxmlformats.org/spreadsheetml/2006/main">
  <sheetPr>
    <tabColor rgb="FF0F6E6E"/>
    <outlinePr summaryBelow="1" summaryRight="1"/>
    <pageSetUpPr/>
  </sheetPr>
  <dimension ref="A1:W201"/>
  <sheetViews>
    <sheetView workbookViewId="0">
      <pane ySplit="4" topLeftCell="A5" activePane="bottomLeft" state="frozen"/>
      <selection pane="bottomLeft" activeCell="A1" sqref="A1"/>
    </sheetView>
  </sheetViews>
  <sheetFormatPr baseColWidth="8" defaultRowHeight="15"/>
  <cols>
    <col width="10" customWidth="1" min="1" max="1"/>
    <col width="52" customWidth="1" min="2" max="2"/>
    <col width="11" customWidth="1" min="3" max="3"/>
    <col width="24" customWidth="1" min="4" max="4"/>
    <col width="9" customWidth="1" min="5" max="5"/>
    <col width="14" customWidth="1" min="6" max="6"/>
    <col width="30" customWidth="1" min="7" max="7"/>
    <col width="12" customWidth="1" min="8" max="8"/>
    <col width="12" customWidth="1" min="9" max="9"/>
    <col width="12" customWidth="1" min="10" max="10"/>
    <col width="17" customWidth="1" min="11" max="11"/>
    <col width="13" customWidth="1" min="12" max="12"/>
    <col width="10" customWidth="1" min="13" max="13"/>
    <col width="13" customWidth="1" min="14" max="14"/>
    <col width="13" customWidth="1" min="15" max="15"/>
    <col width="14" customWidth="1" min="16" max="16"/>
    <col width="46" customWidth="1" min="17" max="17"/>
    <col width="30" customWidth="1" min="18" max="18"/>
    <col width="26" customWidth="1" min="19" max="19"/>
    <col width="12" customWidth="1" min="20" max="20"/>
    <col width="46" customWidth="1" min="21" max="21"/>
    <col width="52" customWidth="1" min="22" max="22"/>
    <col width="12" customWidth="1" min="23" max="23"/>
  </cols>
  <sheetData>
    <row r="1" ht="24" customHeight="1">
      <c r="A1" s="1" t="inlineStr">
        <is>
          <t>PRODUCT MASTER - IKONIC INDIA CATALOGUE vs NEPAL MARKET</t>
        </is>
      </c>
    </row>
    <row r="2" ht="15.75" customHeight="1">
      <c r="A2" s="2" t="inlineStr">
        <is>
          <t>Est. Cost, GP and Landed Est. are live formulas. Change Margin % (column N) to your real supplier terms and every downstream number recalculates.</t>
        </is>
      </c>
    </row>
    <row r="4" ht="30" customHeight="1">
      <c r="A4" s="9" t="inlineStr">
        <is>
          <t>ID</t>
        </is>
      </c>
      <c r="B4" s="9" t="inlineStr">
        <is>
          <t>Product Name</t>
        </is>
      </c>
      <c r="C4" s="9" t="inlineStr">
        <is>
          <t>Brand</t>
        </is>
      </c>
      <c r="D4" s="9" t="inlineStr">
        <is>
          <t>Category</t>
        </is>
      </c>
      <c r="E4" s="9" t="inlineStr">
        <is>
          <t>Line</t>
        </is>
      </c>
      <c r="F4" s="9" t="inlineStr">
        <is>
          <t>Business Model</t>
        </is>
      </c>
      <c r="G4" s="9" t="inlineStr">
        <is>
          <t>Target Persona</t>
        </is>
      </c>
      <c r="H4" s="9" t="inlineStr">
        <is>
          <t>India List (INR)</t>
        </is>
      </c>
      <c r="I4" s="9" t="inlineStr">
        <is>
          <t>India MRP (INR)</t>
        </is>
      </c>
      <c r="J4" s="9" t="inlineStr">
        <is>
          <t>Daraz NP (NPR)</t>
        </is>
      </c>
      <c r="K4" s="9" t="inlineStr">
        <is>
          <t>Price Confidence</t>
        </is>
      </c>
      <c r="L4" s="9" t="inlineStr">
        <is>
          <t>Our Price (NPR)</t>
        </is>
      </c>
      <c r="M4" s="9" t="inlineStr">
        <is>
          <t>Margin %</t>
        </is>
      </c>
      <c r="N4" s="9" t="inlineStr">
        <is>
          <t>Est. Cost (NPR)</t>
        </is>
      </c>
      <c r="O4" s="9" t="inlineStr">
        <is>
          <t>GP / Unit (NPR)</t>
        </is>
      </c>
      <c r="P4" s="9" t="inlineStr">
        <is>
          <t>Landed Est. (NPR)</t>
        </is>
      </c>
      <c r="Q4" s="9" t="inlineStr">
        <is>
          <t>Reference Link</t>
        </is>
      </c>
      <c r="R4" s="9" t="inlineStr">
        <is>
          <t>Demand Signal</t>
        </is>
      </c>
      <c r="S4" s="9" t="inlineStr">
        <is>
          <t>Competition</t>
        </is>
      </c>
      <c r="T4" s="9" t="inlineStr">
        <is>
          <t>Stock Priority</t>
        </is>
      </c>
      <c r="U4" s="9" t="inlineStr">
        <is>
          <t>Content Angle</t>
        </is>
      </c>
      <c r="V4" s="9" t="inlineStr">
        <is>
          <t>Notes</t>
        </is>
      </c>
      <c r="W4" s="9" t="inlineStr">
        <is>
          <t>Blended Score</t>
        </is>
      </c>
    </row>
    <row r="5" ht="30" customHeight="1">
      <c r="A5" s="10" t="inlineStr">
        <is>
          <t>ETP-001</t>
        </is>
      </c>
      <c r="B5" s="8" t="inlineStr">
        <is>
          <t>Ikonic Pedicure Station Royal - Black</t>
        </is>
      </c>
      <c r="C5" s="10" t="inlineStr">
        <is>
          <t>Ikonic</t>
        </is>
      </c>
      <c r="D5" s="10" t="inlineStr">
        <is>
          <t>Salon Furniture &amp; Equipment</t>
        </is>
      </c>
      <c r="E5" s="10" t="inlineStr">
        <is>
          <t>Profit</t>
        </is>
      </c>
      <c r="F5" s="10" t="inlineStr">
        <is>
          <t>B2B</t>
        </is>
      </c>
      <c r="G5" s="8" t="inlineStr">
        <is>
          <t>Salon / parlour owner fitting or upgrading a floor</t>
        </is>
      </c>
      <c r="H5" s="11" t="n">
        <v>200000</v>
      </c>
      <c r="I5" s="11" t="n">
        <v>250000</v>
      </c>
      <c r="J5" s="11" t="n"/>
      <c r="K5" s="12" t="inlineStr">
        <is>
          <t>NO-NEPAL-LISTING</t>
        </is>
      </c>
      <c r="L5" s="13">
        <f>IF(J5&gt;0,J5,ROUND(P5/(1-M5),-1))</f>
        <v/>
      </c>
      <c r="M5" s="14" t="n">
        <v>0.5</v>
      </c>
      <c r="N5" s="13">
        <f>ROUND(L5*(1-M5),0)</f>
        <v/>
      </c>
      <c r="O5" s="13">
        <f>L5-N5</f>
        <v/>
      </c>
      <c r="P5" s="13">
        <f>IF(H5&gt;0,ROUND(H5*(1-IF(E5="Profit",DIST_FURN,DIST_TOOL))*FX_PEG*LANDED_MULT,0),"")</f>
        <v/>
      </c>
      <c r="Q5" s="8" t="inlineStr">
        <is>
          <t>https://www.ikonicworld.com/products/ik-2013c-62-pedicure-station</t>
        </is>
      </c>
      <c r="R5" s="8" t="inlineStr">
        <is>
          <t>Steady - every new salon fit-out</t>
        </is>
      </c>
      <c r="S5" s="8" t="inlineStr">
        <is>
          <t>None on Daraz - open field</t>
        </is>
      </c>
      <c r="T5" s="15">
        <f>IF(E5="Profit",1,IF(O5&gt;2500,2,3))</f>
        <v/>
      </c>
      <c r="U5" s="8" t="inlineStr">
        <is>
          <t>Payback maths on camera: chair cost vs monthly chair revenue</t>
        </is>
      </c>
      <c r="V5" s="8" t="inlineStr">
        <is>
          <t>No Daraz Nepal listing found. Price set from landed cost + target margin. You set the anchor here.</t>
        </is>
      </c>
      <c r="W5" s="16">
        <f>IFERROR(ROUND(MIN(10,O5/1500)*IF(E5="Profit",1.4,1),2),"")</f>
        <v/>
      </c>
    </row>
    <row r="6" ht="30" customHeight="1">
      <c r="A6" s="10" t="inlineStr">
        <is>
          <t>ETP-002</t>
        </is>
      </c>
      <c r="B6" s="8" t="inlineStr">
        <is>
          <t>Autumn Electric Bed</t>
        </is>
      </c>
      <c r="C6" s="10" t="inlineStr">
        <is>
          <t>Ikonic</t>
        </is>
      </c>
      <c r="D6" s="10" t="inlineStr">
        <is>
          <t>Salon Furniture &amp; Equipment</t>
        </is>
      </c>
      <c r="E6" s="10" t="inlineStr">
        <is>
          <t>Profit</t>
        </is>
      </c>
      <c r="F6" s="10" t="inlineStr">
        <is>
          <t>B2B</t>
        </is>
      </c>
      <c r="G6" s="8" t="inlineStr">
        <is>
          <t>Salon / parlour owner fitting or upgrading a floor</t>
        </is>
      </c>
      <c r="H6" s="11" t="n">
        <v>188000</v>
      </c>
      <c r="I6" s="11" t="n">
        <v>235000</v>
      </c>
      <c r="J6" s="11" t="n"/>
      <c r="K6" s="12" t="inlineStr">
        <is>
          <t>NO-NEPAL-LISTING</t>
        </is>
      </c>
      <c r="L6" s="13">
        <f>IF(J6&gt;0,J6,ROUND(P6/(1-M6),-1))</f>
        <v/>
      </c>
      <c r="M6" s="14" t="n">
        <v>0.5</v>
      </c>
      <c r="N6" s="13">
        <f>ROUND(L6*(1-M6),0)</f>
        <v/>
      </c>
      <c r="O6" s="13">
        <f>L6-N6</f>
        <v/>
      </c>
      <c r="P6" s="13">
        <f>IF(H6&gt;0,ROUND(H6*(1-IF(E6="Profit",DIST_FURN,DIST_TOOL))*FX_PEG*LANDED_MULT,0),"")</f>
        <v/>
      </c>
      <c r="Q6" s="8" t="inlineStr">
        <is>
          <t>https://www.ikonicworld.com/products/autumn-electric-bed</t>
        </is>
      </c>
      <c r="R6" s="8" t="inlineStr">
        <is>
          <t>Steady - every new salon fit-out</t>
        </is>
      </c>
      <c r="S6" s="8" t="inlineStr">
        <is>
          <t>None on Daraz - open field</t>
        </is>
      </c>
      <c r="T6" s="15">
        <f>IF(E6="Profit",1,IF(O6&gt;2500,2,3))</f>
        <v/>
      </c>
      <c r="U6" s="8" t="inlineStr">
        <is>
          <t>Payback maths on camera: chair cost vs monthly chair revenue</t>
        </is>
      </c>
      <c r="V6" s="8" t="inlineStr">
        <is>
          <t>No Daraz Nepal listing found. Price set from landed cost + target margin. You set the anchor here.</t>
        </is>
      </c>
      <c r="W6" s="16">
        <f>IFERROR(ROUND(MIN(10,O6/1500)*IF(E6="Profit",1.4,1),2),"")</f>
        <v/>
      </c>
    </row>
    <row r="7" ht="30" customHeight="1">
      <c r="A7" s="10" t="inlineStr">
        <is>
          <t>ETP-003</t>
        </is>
      </c>
      <c r="B7" s="8" t="inlineStr">
        <is>
          <t>Ikonic Electrical Bed Calypso</t>
        </is>
      </c>
      <c r="C7" s="10" t="inlineStr">
        <is>
          <t>Ikonic</t>
        </is>
      </c>
      <c r="D7" s="10" t="inlineStr">
        <is>
          <t>Salon Furniture &amp; Equipment</t>
        </is>
      </c>
      <c r="E7" s="10" t="inlineStr">
        <is>
          <t>Profit</t>
        </is>
      </c>
      <c r="F7" s="10" t="inlineStr">
        <is>
          <t>B2B</t>
        </is>
      </c>
      <c r="G7" s="8" t="inlineStr">
        <is>
          <t>Salon / parlour owner fitting or upgrading a floor</t>
        </is>
      </c>
      <c r="H7" s="11" t="n">
        <v>116000</v>
      </c>
      <c r="I7" s="11" t="n">
        <v>145000</v>
      </c>
      <c r="J7" s="11" t="n"/>
      <c r="K7" s="12" t="inlineStr">
        <is>
          <t>NO-NEPAL-LISTING</t>
        </is>
      </c>
      <c r="L7" s="13">
        <f>IF(J7&gt;0,J7,ROUND(P7/(1-M7),-1))</f>
        <v/>
      </c>
      <c r="M7" s="14" t="n">
        <v>0.5</v>
      </c>
      <c r="N7" s="13">
        <f>ROUND(L7*(1-M7),0)</f>
        <v/>
      </c>
      <c r="O7" s="13">
        <f>L7-N7</f>
        <v/>
      </c>
      <c r="P7" s="13">
        <f>IF(H7&gt;0,ROUND(H7*(1-IF(E7="Profit",DIST_FURN,DIST_TOOL))*FX_PEG*LANDED_MULT,0),"")</f>
        <v/>
      </c>
      <c r="Q7" s="8" t="inlineStr">
        <is>
          <t>https://www.ikonicworld.com/products/calypso-electric-facial-massage-chair-beige</t>
        </is>
      </c>
      <c r="R7" s="8" t="inlineStr">
        <is>
          <t>Steady - every new salon fit-out</t>
        </is>
      </c>
      <c r="S7" s="8" t="inlineStr">
        <is>
          <t>None on Daraz - open field</t>
        </is>
      </c>
      <c r="T7" s="15">
        <f>IF(E7="Profit",1,IF(O7&gt;2500,2,3))</f>
        <v/>
      </c>
      <c r="U7" s="8" t="inlineStr">
        <is>
          <t>Payback maths on camera: chair cost vs monthly chair revenue</t>
        </is>
      </c>
      <c r="V7" s="8" t="inlineStr">
        <is>
          <t>No Daraz Nepal listing found. Price set from landed cost + target margin. You set the anchor here.</t>
        </is>
      </c>
      <c r="W7" s="16">
        <f>IFERROR(ROUND(MIN(10,O7/1500)*IF(E7="Profit",1.4,1),2),"")</f>
        <v/>
      </c>
    </row>
    <row r="8" ht="30" customHeight="1">
      <c r="A8" s="10" t="inlineStr">
        <is>
          <t>ETP-004</t>
        </is>
      </c>
      <c r="B8" s="8" t="inlineStr">
        <is>
          <t>Charmaine Shampoo Bed With Pedicure Basin</t>
        </is>
      </c>
      <c r="C8" s="10" t="inlineStr">
        <is>
          <t>Ikonic</t>
        </is>
      </c>
      <c r="D8" s="10" t="inlineStr">
        <is>
          <t>Salon Furniture &amp; Equipment</t>
        </is>
      </c>
      <c r="E8" s="10" t="inlineStr">
        <is>
          <t>Profit</t>
        </is>
      </c>
      <c r="F8" s="10" t="inlineStr">
        <is>
          <t>B2B</t>
        </is>
      </c>
      <c r="G8" s="8" t="inlineStr">
        <is>
          <t>Salon / parlour owner fitting or upgrading a floor</t>
        </is>
      </c>
      <c r="H8" s="11" t="n">
        <v>84000</v>
      </c>
      <c r="I8" s="11" t="n">
        <v>105000</v>
      </c>
      <c r="J8" s="11" t="n"/>
      <c r="K8" s="12" t="inlineStr">
        <is>
          <t>NO-NEPAL-LISTING</t>
        </is>
      </c>
      <c r="L8" s="13">
        <f>IF(J8&gt;0,J8,ROUND(P8/(1-M8),-1))</f>
        <v/>
      </c>
      <c r="M8" s="14" t="n">
        <v>0.5</v>
      </c>
      <c r="N8" s="13">
        <f>ROUND(L8*(1-M8),0)</f>
        <v/>
      </c>
      <c r="O8" s="13">
        <f>L8-N8</f>
        <v/>
      </c>
      <c r="P8" s="13">
        <f>IF(H8&gt;0,ROUND(H8*(1-IF(E8="Profit",DIST_FURN,DIST_TOOL))*FX_PEG*LANDED_MULT,0),"")</f>
        <v/>
      </c>
      <c r="Q8" s="8" t="inlineStr">
        <is>
          <t>https://www.ikonicworld.com/products/charmaine-shampoo-bed-with-pedicure-basin-black</t>
        </is>
      </c>
      <c r="R8" s="8" t="inlineStr">
        <is>
          <t>Steady - every new salon fit-out</t>
        </is>
      </c>
      <c r="S8" s="8" t="inlineStr">
        <is>
          <t>None on Daraz - open field</t>
        </is>
      </c>
      <c r="T8" s="15">
        <f>IF(E8="Profit",1,IF(O8&gt;2500,2,3))</f>
        <v/>
      </c>
      <c r="U8" s="8" t="inlineStr">
        <is>
          <t>Payback maths on camera: chair cost vs monthly chair revenue</t>
        </is>
      </c>
      <c r="V8" s="8" t="inlineStr">
        <is>
          <t>No Daraz Nepal listing found. Price set from landed cost + target margin. You set the anchor here.</t>
        </is>
      </c>
      <c r="W8" s="16">
        <f>IFERROR(ROUND(MIN(10,O8/1500)*IF(E8="Profit",1.4,1),2),"")</f>
        <v/>
      </c>
    </row>
    <row r="9" ht="30" customHeight="1">
      <c r="A9" s="10" t="inlineStr">
        <is>
          <t>ETP-005</t>
        </is>
      </c>
      <c r="B9" s="8" t="inlineStr">
        <is>
          <t>Ikonic Barber Chair Felix</t>
        </is>
      </c>
      <c r="C9" s="10" t="inlineStr">
        <is>
          <t>Ikonic</t>
        </is>
      </c>
      <c r="D9" s="10" t="inlineStr">
        <is>
          <t>Salon Furniture &amp; Equipment</t>
        </is>
      </c>
      <c r="E9" s="10" t="inlineStr">
        <is>
          <t>Profit</t>
        </is>
      </c>
      <c r="F9" s="10" t="inlineStr">
        <is>
          <t>B2B</t>
        </is>
      </c>
      <c r="G9" s="8" t="inlineStr">
        <is>
          <t>Salon / parlour owner fitting or upgrading a floor</t>
        </is>
      </c>
      <c r="H9" s="11" t="n">
        <v>84000</v>
      </c>
      <c r="I9" s="11" t="n">
        <v>105000</v>
      </c>
      <c r="J9" s="11" t="n"/>
      <c r="K9" s="12" t="inlineStr">
        <is>
          <t>NO-NEPAL-LISTING</t>
        </is>
      </c>
      <c r="L9" s="13">
        <f>IF(J9&gt;0,J9,ROUND(P9/(1-M9),-1))</f>
        <v/>
      </c>
      <c r="M9" s="14" t="n">
        <v>0.5</v>
      </c>
      <c r="N9" s="13">
        <f>ROUND(L9*(1-M9),0)</f>
        <v/>
      </c>
      <c r="O9" s="13">
        <f>L9-N9</f>
        <v/>
      </c>
      <c r="P9" s="13">
        <f>IF(H9&gt;0,ROUND(H9*(1-IF(E9="Profit",DIST_FURN,DIST_TOOL))*FX_PEG*LANDED_MULT,0),"")</f>
        <v/>
      </c>
      <c r="Q9" s="8" t="inlineStr">
        <is>
          <t>https://www.ikonicworld.com/products/ik-8781-barber-chair-black</t>
        </is>
      </c>
      <c r="R9" s="8" t="inlineStr">
        <is>
          <t>Steady - every new salon fit-out</t>
        </is>
      </c>
      <c r="S9" s="8" t="inlineStr">
        <is>
          <t>None on Daraz - open field</t>
        </is>
      </c>
      <c r="T9" s="15">
        <f>IF(E9="Profit",1,IF(O9&gt;2500,2,3))</f>
        <v/>
      </c>
      <c r="U9" s="8" t="inlineStr">
        <is>
          <t>Payback maths on camera: chair cost vs monthly chair revenue</t>
        </is>
      </c>
      <c r="V9" s="8" t="inlineStr">
        <is>
          <t>No Daraz Nepal listing found. Price set from landed cost + target margin. You set the anchor here.</t>
        </is>
      </c>
      <c r="W9" s="16">
        <f>IFERROR(ROUND(MIN(10,O9/1500)*IF(E9="Profit",1.4,1),2),"")</f>
        <v/>
      </c>
    </row>
    <row r="10" ht="30" customHeight="1">
      <c r="A10" s="10" t="inlineStr">
        <is>
          <t>ETP-006</t>
        </is>
      </c>
      <c r="B10" s="8" t="inlineStr">
        <is>
          <t>Ikonic Barber Chair Maverick</t>
        </is>
      </c>
      <c r="C10" s="10" t="inlineStr">
        <is>
          <t>Ikonic</t>
        </is>
      </c>
      <c r="D10" s="10" t="inlineStr">
        <is>
          <t>Salon Furniture &amp; Equipment</t>
        </is>
      </c>
      <c r="E10" s="10" t="inlineStr">
        <is>
          <t>Profit</t>
        </is>
      </c>
      <c r="F10" s="10" t="inlineStr">
        <is>
          <t>B2B</t>
        </is>
      </c>
      <c r="G10" s="8" t="inlineStr">
        <is>
          <t>Salon / parlour owner fitting or upgrading a floor</t>
        </is>
      </c>
      <c r="H10" s="11" t="n">
        <v>80000</v>
      </c>
      <c r="I10" s="11" t="n">
        <v>100000</v>
      </c>
      <c r="J10" s="11" t="n"/>
      <c r="K10" s="12" t="inlineStr">
        <is>
          <t>NO-NEPAL-LISTING</t>
        </is>
      </c>
      <c r="L10" s="13">
        <f>IF(J10&gt;0,J10,ROUND(P10/(1-M10),-1))</f>
        <v/>
      </c>
      <c r="M10" s="14" t="n">
        <v>0.5</v>
      </c>
      <c r="N10" s="13">
        <f>ROUND(L10*(1-M10),0)</f>
        <v/>
      </c>
      <c r="O10" s="13">
        <f>L10-N10</f>
        <v/>
      </c>
      <c r="P10" s="13">
        <f>IF(H10&gt;0,ROUND(H10*(1-IF(E10="Profit",DIST_FURN,DIST_TOOL))*FX_PEG*LANDED_MULT,0),"")</f>
        <v/>
      </c>
      <c r="Q10" s="8" t="inlineStr">
        <is>
          <t>https://www.ikonicworld.com/products/ik-8779-1-barber-chair-green</t>
        </is>
      </c>
      <c r="R10" s="8" t="inlineStr">
        <is>
          <t>Steady - every new salon fit-out</t>
        </is>
      </c>
      <c r="S10" s="8" t="inlineStr">
        <is>
          <t>None on Daraz - open field</t>
        </is>
      </c>
      <c r="T10" s="15">
        <f>IF(E10="Profit",1,IF(O10&gt;2500,2,3))</f>
        <v/>
      </c>
      <c r="U10" s="8" t="inlineStr">
        <is>
          <t>Payback maths on camera: chair cost vs monthly chair revenue</t>
        </is>
      </c>
      <c r="V10" s="8" t="inlineStr">
        <is>
          <t>No Daraz Nepal listing found. Price set from landed cost + target margin. You set the anchor here.</t>
        </is>
      </c>
      <c r="W10" s="16">
        <f>IFERROR(ROUND(MIN(10,O10/1500)*IF(E10="Profit",1.4,1),2),"")</f>
        <v/>
      </c>
    </row>
    <row r="11" ht="30" customHeight="1">
      <c r="A11" s="10" t="inlineStr">
        <is>
          <t>ETP-007</t>
        </is>
      </c>
      <c r="B11" s="8" t="inlineStr">
        <is>
          <t>Ikonic Barber Chair Bruno</t>
        </is>
      </c>
      <c r="C11" s="10" t="inlineStr">
        <is>
          <t>Ikonic</t>
        </is>
      </c>
      <c r="D11" s="10" t="inlineStr">
        <is>
          <t>Salon Furniture &amp; Equipment</t>
        </is>
      </c>
      <c r="E11" s="10" t="inlineStr">
        <is>
          <t>Profit</t>
        </is>
      </c>
      <c r="F11" s="10" t="inlineStr">
        <is>
          <t>B2B</t>
        </is>
      </c>
      <c r="G11" s="8" t="inlineStr">
        <is>
          <t>Salon / parlour owner fitting or upgrading a floor</t>
        </is>
      </c>
      <c r="H11" s="11" t="n">
        <v>79600</v>
      </c>
      <c r="I11" s="11" t="n">
        <v>99500</v>
      </c>
      <c r="J11" s="11" t="n"/>
      <c r="K11" s="12" t="inlineStr">
        <is>
          <t>NO-NEPAL-LISTING</t>
        </is>
      </c>
      <c r="L11" s="13">
        <f>IF(J11&gt;0,J11,ROUND(P11/(1-M11),-1))</f>
        <v/>
      </c>
      <c r="M11" s="14" t="n">
        <v>0.5</v>
      </c>
      <c r="N11" s="13">
        <f>ROUND(L11*(1-M11),0)</f>
        <v/>
      </c>
      <c r="O11" s="13">
        <f>L11-N11</f>
        <v/>
      </c>
      <c r="P11" s="13">
        <f>IF(H11&gt;0,ROUND(H11*(1-IF(E11="Profit",DIST_FURN,DIST_TOOL))*FX_PEG*LANDED_MULT,0),"")</f>
        <v/>
      </c>
      <c r="Q11" s="8" t="inlineStr">
        <is>
          <t>https://www.ikonicworld.com/products/ik-8777-black</t>
        </is>
      </c>
      <c r="R11" s="8" t="inlineStr">
        <is>
          <t>Steady - every new salon fit-out</t>
        </is>
      </c>
      <c r="S11" s="8" t="inlineStr">
        <is>
          <t>None on Daraz - open field</t>
        </is>
      </c>
      <c r="T11" s="15">
        <f>IF(E11="Profit",1,IF(O11&gt;2500,2,3))</f>
        <v/>
      </c>
      <c r="U11" s="8" t="inlineStr">
        <is>
          <t>Payback maths on camera: chair cost vs monthly chair revenue</t>
        </is>
      </c>
      <c r="V11" s="8" t="inlineStr">
        <is>
          <t>No Daraz Nepal listing found. Price set from landed cost + target margin. You set the anchor here.</t>
        </is>
      </c>
      <c r="W11" s="16">
        <f>IFERROR(ROUND(MIN(10,O11/1500)*IF(E11="Profit",1.4,1),2),"")</f>
        <v/>
      </c>
    </row>
    <row r="12" ht="30" customHeight="1">
      <c r="A12" s="10" t="inlineStr">
        <is>
          <t>ETP-008</t>
        </is>
      </c>
      <c r="B12" s="8" t="inlineStr">
        <is>
          <t>AOI CLAMAZONE</t>
        </is>
      </c>
      <c r="C12" s="10" t="inlineStr">
        <is>
          <t>Ikonic</t>
        </is>
      </c>
      <c r="D12" s="10" t="inlineStr">
        <is>
          <t>Salon Furniture &amp; Equipment</t>
        </is>
      </c>
      <c r="E12" s="10" t="inlineStr">
        <is>
          <t>Profit</t>
        </is>
      </c>
      <c r="F12" s="10" t="inlineStr">
        <is>
          <t>B2B</t>
        </is>
      </c>
      <c r="G12" s="8" t="inlineStr">
        <is>
          <t>Salon / parlour owner fitting or upgrading a floor</t>
        </is>
      </c>
      <c r="H12" s="11" t="n">
        <v>71600</v>
      </c>
      <c r="I12" s="11" t="n">
        <v>89500</v>
      </c>
      <c r="J12" s="11" t="n"/>
      <c r="K12" s="12" t="inlineStr">
        <is>
          <t>NO-NEPAL-LISTING</t>
        </is>
      </c>
      <c r="L12" s="13">
        <f>IF(J12&gt;0,J12,ROUND(P12/(1-M12),-1))</f>
        <v/>
      </c>
      <c r="M12" s="14" t="n">
        <v>0.5</v>
      </c>
      <c r="N12" s="13">
        <f>ROUND(L12*(1-M12),0)</f>
        <v/>
      </c>
      <c r="O12" s="13">
        <f>L12-N12</f>
        <v/>
      </c>
      <c r="P12" s="13">
        <f>IF(H12&gt;0,ROUND(H12*(1-IF(E12="Profit",DIST_FURN,DIST_TOOL))*FX_PEG*LANDED_MULT,0),"")</f>
        <v/>
      </c>
      <c r="Q12" s="8" t="inlineStr">
        <is>
          <t>https://www.ikonicworld.com/products/aoi-clamazone</t>
        </is>
      </c>
      <c r="R12" s="8" t="inlineStr">
        <is>
          <t>Steady - every new salon fit-out</t>
        </is>
      </c>
      <c r="S12" s="8" t="inlineStr">
        <is>
          <t>None on Daraz - open field</t>
        </is>
      </c>
      <c r="T12" s="15">
        <f>IF(E12="Profit",1,IF(O12&gt;2500,2,3))</f>
        <v/>
      </c>
      <c r="U12" s="8" t="inlineStr">
        <is>
          <t>Payback maths on camera: chair cost vs monthly chair revenue</t>
        </is>
      </c>
      <c r="V12" s="8" t="inlineStr">
        <is>
          <t>No Daraz Nepal listing found. Price set from landed cost + target margin. You set the anchor here.</t>
        </is>
      </c>
      <c r="W12" s="16">
        <f>IFERROR(ROUND(MIN(10,O12/1500)*IF(E12="Profit",1.4,1),2),"")</f>
        <v/>
      </c>
    </row>
    <row r="13" ht="30" customHeight="1">
      <c r="A13" s="10" t="inlineStr">
        <is>
          <t>ETP-009</t>
        </is>
      </c>
      <c r="B13" s="8" t="inlineStr">
        <is>
          <t>Ikonic Shampoo Station Solimo</t>
        </is>
      </c>
      <c r="C13" s="10" t="inlineStr">
        <is>
          <t>Ikonic</t>
        </is>
      </c>
      <c r="D13" s="10" t="inlineStr">
        <is>
          <t>Salon Furniture &amp; Equipment</t>
        </is>
      </c>
      <c r="E13" s="10" t="inlineStr">
        <is>
          <t>Profit</t>
        </is>
      </c>
      <c r="F13" s="10" t="inlineStr">
        <is>
          <t>B2B</t>
        </is>
      </c>
      <c r="G13" s="8" t="inlineStr">
        <is>
          <t>Salon / parlour owner fitting or upgrading a floor</t>
        </is>
      </c>
      <c r="H13" s="11" t="n">
        <v>64000</v>
      </c>
      <c r="I13" s="11" t="n">
        <v>80000</v>
      </c>
      <c r="J13" s="11" t="n"/>
      <c r="K13" s="12" t="inlineStr">
        <is>
          <t>NO-NEPAL-LISTING</t>
        </is>
      </c>
      <c r="L13" s="13">
        <f>IF(J13&gt;0,J13,ROUND(P13/(1-M13),-1))</f>
        <v/>
      </c>
      <c r="M13" s="14" t="n">
        <v>0.5</v>
      </c>
      <c r="N13" s="13">
        <f>ROUND(L13*(1-M13),0)</f>
        <v/>
      </c>
      <c r="O13" s="13">
        <f>L13-N13</f>
        <v/>
      </c>
      <c r="P13" s="13">
        <f>IF(H13&gt;0,ROUND(H13*(1-IF(E13="Profit",DIST_FURN,DIST_TOOL))*FX_PEG*LANDED_MULT,0),"")</f>
        <v/>
      </c>
      <c r="Q13" s="8" t="inlineStr">
        <is>
          <t>https://www.ikonicworld.com/products/shampoo-station-chair-ik-1254</t>
        </is>
      </c>
      <c r="R13" s="8" t="inlineStr">
        <is>
          <t>Steady - every new salon fit-out</t>
        </is>
      </c>
      <c r="S13" s="8" t="inlineStr">
        <is>
          <t>None on Daraz - open field</t>
        </is>
      </c>
      <c r="T13" s="15">
        <f>IF(E13="Profit",1,IF(O13&gt;2500,2,3))</f>
        <v/>
      </c>
      <c r="U13" s="8" t="inlineStr">
        <is>
          <t>Payback maths on camera: chair cost vs monthly chair revenue</t>
        </is>
      </c>
      <c r="V13" s="8" t="inlineStr">
        <is>
          <t>No Daraz Nepal listing found. Price set from landed cost + target margin. You set the anchor here.</t>
        </is>
      </c>
      <c r="W13" s="16">
        <f>IFERROR(ROUND(MIN(10,O13/1500)*IF(E13="Profit",1.4,1),2),"")</f>
        <v/>
      </c>
    </row>
    <row r="14" ht="30" customHeight="1">
      <c r="A14" s="10" t="inlineStr">
        <is>
          <t>ETP-010</t>
        </is>
      </c>
      <c r="B14" s="8" t="inlineStr">
        <is>
          <t>Ikonic IKU MICRO MIST</t>
        </is>
      </c>
      <c r="C14" s="10" t="inlineStr">
        <is>
          <t>Ikonic</t>
        </is>
      </c>
      <c r="D14" s="10" t="inlineStr">
        <is>
          <t>Salon Furniture &amp; Equipment</t>
        </is>
      </c>
      <c r="E14" s="10" t="inlineStr">
        <is>
          <t>Profit</t>
        </is>
      </c>
      <c r="F14" s="10" t="inlineStr">
        <is>
          <t>B2B</t>
        </is>
      </c>
      <c r="G14" s="8" t="inlineStr">
        <is>
          <t>Salon / parlour owner fitting or upgrading a floor</t>
        </is>
      </c>
      <c r="H14" s="11" t="n">
        <v>62000</v>
      </c>
      <c r="I14" s="11" t="n">
        <v>77500</v>
      </c>
      <c r="J14" s="11" t="n"/>
      <c r="K14" s="12" t="inlineStr">
        <is>
          <t>NO-NEPAL-LISTING</t>
        </is>
      </c>
      <c r="L14" s="13">
        <f>IF(J14&gt;0,J14,ROUND(P14/(1-M14),-1))</f>
        <v/>
      </c>
      <c r="M14" s="14" t="n">
        <v>0.5</v>
      </c>
      <c r="N14" s="13">
        <f>ROUND(L14*(1-M14),0)</f>
        <v/>
      </c>
      <c r="O14" s="13">
        <f>L14-N14</f>
        <v/>
      </c>
      <c r="P14" s="13">
        <f>IF(H14&gt;0,ROUND(H14*(1-IF(E14="Profit",DIST_FURN,DIST_TOOL))*FX_PEG*LANDED_MULT,0),"")</f>
        <v/>
      </c>
      <c r="Q14" s="8" t="inlineStr">
        <is>
          <t>https://www.ikonicworld.com/products/iku-micro-mist-white</t>
        </is>
      </c>
      <c r="R14" s="8" t="inlineStr">
        <is>
          <t>Steady - every new salon fit-out</t>
        </is>
      </c>
      <c r="S14" s="8" t="inlineStr">
        <is>
          <t>None on Daraz - open field</t>
        </is>
      </c>
      <c r="T14" s="15">
        <f>IF(E14="Profit",1,IF(O14&gt;2500,2,3))</f>
        <v/>
      </c>
      <c r="U14" s="8" t="inlineStr">
        <is>
          <t>Payback maths on camera: chair cost vs monthly chair revenue</t>
        </is>
      </c>
      <c r="V14" s="8" t="inlineStr">
        <is>
          <t>No Daraz Nepal listing found. Price set from landed cost + target margin. You set the anchor here.</t>
        </is>
      </c>
      <c r="W14" s="16">
        <f>IFERROR(ROUND(MIN(10,O14/1500)*IF(E14="Profit",1.4,1),2),"")</f>
        <v/>
      </c>
    </row>
    <row r="15" ht="30" customHeight="1">
      <c r="A15" s="10" t="inlineStr">
        <is>
          <t>ETP-011</t>
        </is>
      </c>
      <c r="B15" s="8" t="inlineStr">
        <is>
          <t>Ikonic Shampoo Station Imperio</t>
        </is>
      </c>
      <c r="C15" s="10" t="inlineStr">
        <is>
          <t>Ikonic</t>
        </is>
      </c>
      <c r="D15" s="10" t="inlineStr">
        <is>
          <t>Salon Furniture &amp; Equipment</t>
        </is>
      </c>
      <c r="E15" s="10" t="inlineStr">
        <is>
          <t>Profit</t>
        </is>
      </c>
      <c r="F15" s="10" t="inlineStr">
        <is>
          <t>B2B</t>
        </is>
      </c>
      <c r="G15" s="8" t="inlineStr">
        <is>
          <t>Salon / parlour owner fitting or upgrading a floor</t>
        </is>
      </c>
      <c r="H15" s="11" t="n">
        <v>61600</v>
      </c>
      <c r="I15" s="11" t="n">
        <v>77000</v>
      </c>
      <c r="J15" s="11" t="n"/>
      <c r="K15" s="12" t="inlineStr">
        <is>
          <t>NO-NEPAL-LISTING</t>
        </is>
      </c>
      <c r="L15" s="13">
        <f>IF(J15&gt;0,J15,ROUND(P15/(1-M15),-1))</f>
        <v/>
      </c>
      <c r="M15" s="14" t="n">
        <v>0.5</v>
      </c>
      <c r="N15" s="13">
        <f>ROUND(L15*(1-M15),0)</f>
        <v/>
      </c>
      <c r="O15" s="13">
        <f>L15-N15</f>
        <v/>
      </c>
      <c r="P15" s="13">
        <f>IF(H15&gt;0,ROUND(H15*(1-IF(E15="Profit",DIST_FURN,DIST_TOOL))*FX_PEG*LANDED_MULT,0),"")</f>
        <v/>
      </c>
      <c r="Q15" s="8" t="inlineStr">
        <is>
          <t>https://www.ikonicworld.com/products/ikonic-imperio-shampoo-basin-chair-brown-ik-583-1</t>
        </is>
      </c>
      <c r="R15" s="8" t="inlineStr">
        <is>
          <t>Steady - every new salon fit-out</t>
        </is>
      </c>
      <c r="S15" s="8" t="inlineStr">
        <is>
          <t>None on Daraz - open field</t>
        </is>
      </c>
      <c r="T15" s="15">
        <f>IF(E15="Profit",1,IF(O15&gt;2500,2,3))</f>
        <v/>
      </c>
      <c r="U15" s="8" t="inlineStr">
        <is>
          <t>Payback maths on camera: chair cost vs monthly chair revenue</t>
        </is>
      </c>
      <c r="V15" s="8" t="inlineStr">
        <is>
          <t>No Daraz Nepal listing found. Price set from landed cost + target margin. You set the anchor here.</t>
        </is>
      </c>
      <c r="W15" s="16">
        <f>IFERROR(ROUND(MIN(10,O15/1500)*IF(E15="Profit",1.4,1),2),"")</f>
        <v/>
      </c>
    </row>
    <row r="16" ht="30" customHeight="1">
      <c r="A16" s="10" t="inlineStr">
        <is>
          <t>ETP-012</t>
        </is>
      </c>
      <c r="B16" s="8" t="inlineStr">
        <is>
          <t>Ikonic Shampoo Station Kennedy</t>
        </is>
      </c>
      <c r="C16" s="10" t="inlineStr">
        <is>
          <t>Ikonic</t>
        </is>
      </c>
      <c r="D16" s="10" t="inlineStr">
        <is>
          <t>Salon Furniture &amp; Equipment</t>
        </is>
      </c>
      <c r="E16" s="10" t="inlineStr">
        <is>
          <t>Profit</t>
        </is>
      </c>
      <c r="F16" s="10" t="inlineStr">
        <is>
          <t>B2B</t>
        </is>
      </c>
      <c r="G16" s="8" t="inlineStr">
        <is>
          <t>Salon / parlour owner fitting or upgrading a floor</t>
        </is>
      </c>
      <c r="H16" s="11" t="n">
        <v>59200</v>
      </c>
      <c r="I16" s="11" t="n">
        <v>74000</v>
      </c>
      <c r="J16" s="11" t="n"/>
      <c r="K16" s="12" t="inlineStr">
        <is>
          <t>NO-NEPAL-LISTING</t>
        </is>
      </c>
      <c r="L16" s="13">
        <f>IF(J16&gt;0,J16,ROUND(P16/(1-M16),-1))</f>
        <v/>
      </c>
      <c r="M16" s="14" t="n">
        <v>0.5</v>
      </c>
      <c r="N16" s="13">
        <f>ROUND(L16*(1-M16),0)</f>
        <v/>
      </c>
      <c r="O16" s="13">
        <f>L16-N16</f>
        <v/>
      </c>
      <c r="P16" s="13">
        <f>IF(H16&gt;0,ROUND(H16*(1-IF(E16="Profit",DIST_FURN,DIST_TOOL))*FX_PEG*LANDED_MULT,0),"")</f>
        <v/>
      </c>
      <c r="Q16" s="8" t="inlineStr">
        <is>
          <t>https://www.ikonicworld.com/products/ik-020-black</t>
        </is>
      </c>
      <c r="R16" s="8" t="inlineStr">
        <is>
          <t>Steady - every new salon fit-out</t>
        </is>
      </c>
      <c r="S16" s="8" t="inlineStr">
        <is>
          <t>None on Daraz - open field</t>
        </is>
      </c>
      <c r="T16" s="15">
        <f>IF(E16="Profit",1,IF(O16&gt;2500,2,3))</f>
        <v/>
      </c>
      <c r="U16" s="8" t="inlineStr">
        <is>
          <t>Payback maths on camera: chair cost vs monthly chair revenue</t>
        </is>
      </c>
      <c r="V16" s="8" t="inlineStr">
        <is>
          <t>No Daraz Nepal listing found. Price set from landed cost + target margin. You set the anchor here.</t>
        </is>
      </c>
      <c r="W16" s="16">
        <f>IFERROR(ROUND(MIN(10,O16/1500)*IF(E16="Profit",1.4,1),2),"")</f>
        <v/>
      </c>
    </row>
    <row r="17" ht="30" customHeight="1">
      <c r="A17" s="10" t="inlineStr">
        <is>
          <t>ETP-013</t>
        </is>
      </c>
      <c r="B17" s="8" t="inlineStr">
        <is>
          <t>Ikonic Shampoo Station George</t>
        </is>
      </c>
      <c r="C17" s="10" t="inlineStr">
        <is>
          <t>Ikonic</t>
        </is>
      </c>
      <c r="D17" s="10" t="inlineStr">
        <is>
          <t>Salon Furniture &amp; Equipment</t>
        </is>
      </c>
      <c r="E17" s="10" t="inlineStr">
        <is>
          <t>Profit</t>
        </is>
      </c>
      <c r="F17" s="10" t="inlineStr">
        <is>
          <t>B2B</t>
        </is>
      </c>
      <c r="G17" s="8" t="inlineStr">
        <is>
          <t>Salon / parlour owner fitting or upgrading a floor</t>
        </is>
      </c>
      <c r="H17" s="11" t="n">
        <v>58400</v>
      </c>
      <c r="I17" s="11" t="n">
        <v>73000</v>
      </c>
      <c r="J17" s="11" t="n"/>
      <c r="K17" s="12" t="inlineStr">
        <is>
          <t>NO-NEPAL-LISTING</t>
        </is>
      </c>
      <c r="L17" s="13">
        <f>IF(J17&gt;0,J17,ROUND(P17/(1-M17),-1))</f>
        <v/>
      </c>
      <c r="M17" s="14" t="n">
        <v>0.5</v>
      </c>
      <c r="N17" s="13">
        <f>ROUND(L17*(1-M17),0)</f>
        <v/>
      </c>
      <c r="O17" s="13">
        <f>L17-N17</f>
        <v/>
      </c>
      <c r="P17" s="13">
        <f>IF(H17&gt;0,ROUND(H17*(1-IF(E17="Profit",DIST_FURN,DIST_TOOL))*FX_PEG*LANDED_MULT,0),"")</f>
        <v/>
      </c>
      <c r="Q17" s="8" t="inlineStr">
        <is>
          <t>https://www.ikonicworld.com/products/salon-shampoo-station-chair-ik-002</t>
        </is>
      </c>
      <c r="R17" s="8" t="inlineStr">
        <is>
          <t>Steady - every new salon fit-out</t>
        </is>
      </c>
      <c r="S17" s="8" t="inlineStr">
        <is>
          <t>None on Daraz - open field</t>
        </is>
      </c>
      <c r="T17" s="15">
        <f>IF(E17="Profit",1,IF(O17&gt;2500,2,3))</f>
        <v/>
      </c>
      <c r="U17" s="8" t="inlineStr">
        <is>
          <t>Payback maths on camera: chair cost vs monthly chair revenue</t>
        </is>
      </c>
      <c r="V17" s="8" t="inlineStr">
        <is>
          <t>No Daraz Nepal listing found. Price set from landed cost + target margin. You set the anchor here.</t>
        </is>
      </c>
      <c r="W17" s="16">
        <f>IFERROR(ROUND(MIN(10,O17/1500)*IF(E17="Profit",1.4,1),2),"")</f>
        <v/>
      </c>
    </row>
    <row r="18" ht="30" customHeight="1">
      <c r="A18" s="10" t="inlineStr">
        <is>
          <t>ETP-014</t>
        </is>
      </c>
      <c r="B18" s="8" t="inlineStr">
        <is>
          <t>Ikonic Shampoo Chair Joseph</t>
        </is>
      </c>
      <c r="C18" s="10" t="inlineStr">
        <is>
          <t>Ikonic</t>
        </is>
      </c>
      <c r="D18" s="10" t="inlineStr">
        <is>
          <t>Salon Furniture &amp; Equipment</t>
        </is>
      </c>
      <c r="E18" s="10" t="inlineStr">
        <is>
          <t>Profit</t>
        </is>
      </c>
      <c r="F18" s="10" t="inlineStr">
        <is>
          <t>B2B</t>
        </is>
      </c>
      <c r="G18" s="8" t="inlineStr">
        <is>
          <t>Salon / parlour owner fitting or upgrading a floor</t>
        </is>
      </c>
      <c r="H18" s="11" t="n">
        <v>54800</v>
      </c>
      <c r="I18" s="11" t="n">
        <v>68500</v>
      </c>
      <c r="J18" s="11" t="n"/>
      <c r="K18" s="12" t="inlineStr">
        <is>
          <t>NO-NEPAL-LISTING</t>
        </is>
      </c>
      <c r="L18" s="13">
        <f>IF(J18&gt;0,J18,ROUND(P18/(1-M18),-1))</f>
        <v/>
      </c>
      <c r="M18" s="14" t="n">
        <v>0.5</v>
      </c>
      <c r="N18" s="13">
        <f>ROUND(L18*(1-M18),0)</f>
        <v/>
      </c>
      <c r="O18" s="13">
        <f>L18-N18</f>
        <v/>
      </c>
      <c r="P18" s="13">
        <f>IF(H18&gt;0,ROUND(H18*(1-IF(E18="Profit",DIST_FURN,DIST_TOOL))*FX_PEG*LANDED_MULT,0),"")</f>
        <v/>
      </c>
      <c r="Q18" s="8" t="inlineStr">
        <is>
          <t>https://www.ikonicworld.com/products/ikonic-joseph-shampoo-chair-ik-78201-black</t>
        </is>
      </c>
      <c r="R18" s="8" t="inlineStr">
        <is>
          <t>Steady - every new salon fit-out</t>
        </is>
      </c>
      <c r="S18" s="8" t="inlineStr">
        <is>
          <t>None on Daraz - open field</t>
        </is>
      </c>
      <c r="T18" s="15">
        <f>IF(E18="Profit",1,IF(O18&gt;2500,2,3))</f>
        <v/>
      </c>
      <c r="U18" s="8" t="inlineStr">
        <is>
          <t>Payback maths on camera: chair cost vs monthly chair revenue</t>
        </is>
      </c>
      <c r="V18" s="8" t="inlineStr">
        <is>
          <t>No Daraz Nepal listing found. Price set from landed cost + target margin. You set the anchor here.</t>
        </is>
      </c>
      <c r="W18" s="16">
        <f>IFERROR(ROUND(MIN(10,O18/1500)*IF(E18="Profit",1.4,1),2),"")</f>
        <v/>
      </c>
    </row>
    <row r="19" ht="30" customHeight="1">
      <c r="A19" s="10" t="inlineStr">
        <is>
          <t>ETP-015</t>
        </is>
      </c>
      <c r="B19" s="8" t="inlineStr">
        <is>
          <t>Ikonic Shampoo Station Zenith - Coffee</t>
        </is>
      </c>
      <c r="C19" s="10" t="inlineStr">
        <is>
          <t>Ikonic</t>
        </is>
      </c>
      <c r="D19" s="10" t="inlineStr">
        <is>
          <t>Salon Furniture &amp; Equipment</t>
        </is>
      </c>
      <c r="E19" s="10" t="inlineStr">
        <is>
          <t>Profit</t>
        </is>
      </c>
      <c r="F19" s="10" t="inlineStr">
        <is>
          <t>B2B</t>
        </is>
      </c>
      <c r="G19" s="8" t="inlineStr">
        <is>
          <t>Salon / parlour owner fitting or upgrading a floor</t>
        </is>
      </c>
      <c r="H19" s="11" t="n">
        <v>54400</v>
      </c>
      <c r="I19" s="11" t="n">
        <v>68000</v>
      </c>
      <c r="J19" s="11" t="n"/>
      <c r="K19" s="12" t="inlineStr">
        <is>
          <t>NO-NEPAL-LISTING</t>
        </is>
      </c>
      <c r="L19" s="13">
        <f>IF(J19&gt;0,J19,ROUND(P19/(1-M19),-1))</f>
        <v/>
      </c>
      <c r="M19" s="14" t="n">
        <v>0.5</v>
      </c>
      <c r="N19" s="13">
        <f>ROUND(L19*(1-M19),0)</f>
        <v/>
      </c>
      <c r="O19" s="13">
        <f>L19-N19</f>
        <v/>
      </c>
      <c r="P19" s="13">
        <f>IF(H19&gt;0,ROUND(H19*(1-IF(E19="Profit",DIST_FURN,DIST_TOOL))*FX_PEG*LANDED_MULT,0),"")</f>
        <v/>
      </c>
      <c r="Q19" s="8" t="inlineStr">
        <is>
          <t>https://www.ikonicworld.com/products/ikonic-zenith-shampoo-basin-chair-ik-78112-coffee</t>
        </is>
      </c>
      <c r="R19" s="8" t="inlineStr">
        <is>
          <t>Steady - every new salon fit-out</t>
        </is>
      </c>
      <c r="S19" s="8" t="inlineStr">
        <is>
          <t>None on Daraz - open field</t>
        </is>
      </c>
      <c r="T19" s="15">
        <f>IF(E19="Profit",1,IF(O19&gt;2500,2,3))</f>
        <v/>
      </c>
      <c r="U19" s="8" t="inlineStr">
        <is>
          <t>Payback maths on camera: chair cost vs monthly chair revenue</t>
        </is>
      </c>
      <c r="V19" s="8" t="inlineStr">
        <is>
          <t>No Daraz Nepal listing found. Price set from landed cost + target margin. You set the anchor here.</t>
        </is>
      </c>
      <c r="W19" s="16">
        <f>IFERROR(ROUND(MIN(10,O19/1500)*IF(E19="Profit",1.4,1),2),"")</f>
        <v/>
      </c>
    </row>
    <row r="20" ht="30" customHeight="1">
      <c r="A20" s="10" t="inlineStr">
        <is>
          <t>ETP-016</t>
        </is>
      </c>
      <c r="B20" s="8" t="inlineStr">
        <is>
          <t>AKI CLAMAZONE STANDING</t>
        </is>
      </c>
      <c r="C20" s="10" t="inlineStr">
        <is>
          <t>Ikonic</t>
        </is>
      </c>
      <c r="D20" s="10" t="inlineStr">
        <is>
          <t>Salon Furniture &amp; Equipment</t>
        </is>
      </c>
      <c r="E20" s="10" t="inlineStr">
        <is>
          <t>Profit</t>
        </is>
      </c>
      <c r="F20" s="10" t="inlineStr">
        <is>
          <t>B2B</t>
        </is>
      </c>
      <c r="G20" s="8" t="inlineStr">
        <is>
          <t>Salon / parlour owner fitting or upgrading a floor</t>
        </is>
      </c>
      <c r="H20" s="11" t="n">
        <v>41200</v>
      </c>
      <c r="I20" s="11" t="n">
        <v>51500</v>
      </c>
      <c r="J20" s="11" t="n"/>
      <c r="K20" s="12" t="inlineStr">
        <is>
          <t>NO-NEPAL-LISTING</t>
        </is>
      </c>
      <c r="L20" s="13">
        <f>IF(J20&gt;0,J20,ROUND(P20/(1-M20),-1))</f>
        <v/>
      </c>
      <c r="M20" s="14" t="n">
        <v>0.5</v>
      </c>
      <c r="N20" s="13">
        <f>ROUND(L20*(1-M20),0)</f>
        <v/>
      </c>
      <c r="O20" s="13">
        <f>L20-N20</f>
        <v/>
      </c>
      <c r="P20" s="13">
        <f>IF(H20&gt;0,ROUND(H20*(1-IF(E20="Profit",DIST_FURN,DIST_TOOL))*FX_PEG*LANDED_MULT,0),"")</f>
        <v/>
      </c>
      <c r="Q20" s="8" t="inlineStr">
        <is>
          <t>https://www.ikonicworld.com/products/aki-clamazone-standing</t>
        </is>
      </c>
      <c r="R20" s="8" t="inlineStr">
        <is>
          <t>Steady - every new salon fit-out</t>
        </is>
      </c>
      <c r="S20" s="8" t="inlineStr">
        <is>
          <t>None on Daraz - open field</t>
        </is>
      </c>
      <c r="T20" s="15">
        <f>IF(E20="Profit",1,IF(O20&gt;2500,2,3))</f>
        <v/>
      </c>
      <c r="U20" s="8" t="inlineStr">
        <is>
          <t>Payback maths on camera: chair cost vs monthly chair revenue</t>
        </is>
      </c>
      <c r="V20" s="8" t="inlineStr">
        <is>
          <t>No Daraz Nepal listing found. Price set from landed cost + target margin. You set the anchor here.</t>
        </is>
      </c>
      <c r="W20" s="16">
        <f>IFERROR(ROUND(MIN(10,O20/1500)*IF(E20="Profit",1.4,1),2),"")</f>
        <v/>
      </c>
    </row>
    <row r="21" ht="30" customHeight="1">
      <c r="A21" s="10" t="inlineStr">
        <is>
          <t>ETP-017</t>
        </is>
      </c>
      <c r="B21" s="8" t="inlineStr">
        <is>
          <t>Ikonic Reclining Chair Milano</t>
        </is>
      </c>
      <c r="C21" s="10" t="inlineStr">
        <is>
          <t>Ikonic</t>
        </is>
      </c>
      <c r="D21" s="10" t="inlineStr">
        <is>
          <t>Salon Furniture &amp; Equipment</t>
        </is>
      </c>
      <c r="E21" s="10" t="inlineStr">
        <is>
          <t>Profit</t>
        </is>
      </c>
      <c r="F21" s="10" t="inlineStr">
        <is>
          <t>B2B</t>
        </is>
      </c>
      <c r="G21" s="8" t="inlineStr">
        <is>
          <t>Salon / parlour owner fitting or upgrading a floor</t>
        </is>
      </c>
      <c r="H21" s="11" t="n">
        <v>40000</v>
      </c>
      <c r="I21" s="11" t="n">
        <v>50000</v>
      </c>
      <c r="J21" s="11" t="n"/>
      <c r="K21" s="12" t="inlineStr">
        <is>
          <t>NO-NEPAL-LISTING</t>
        </is>
      </c>
      <c r="L21" s="13">
        <f>IF(J21&gt;0,J21,ROUND(P21/(1-M21),-1))</f>
        <v/>
      </c>
      <c r="M21" s="14" t="n">
        <v>0.5</v>
      </c>
      <c r="N21" s="13">
        <f>ROUND(L21*(1-M21),0)</f>
        <v/>
      </c>
      <c r="O21" s="13">
        <f>L21-N21</f>
        <v/>
      </c>
      <c r="P21" s="13">
        <f>IF(H21&gt;0,ROUND(H21*(1-IF(E21="Profit",DIST_FURN,DIST_TOOL))*FX_PEG*LANDED_MULT,0),"")</f>
        <v/>
      </c>
      <c r="Q21" s="8" t="inlineStr">
        <is>
          <t>https://www.ikonicworld.com/products/ik-375a-grey</t>
        </is>
      </c>
      <c r="R21" s="8" t="inlineStr">
        <is>
          <t>Steady - every new salon fit-out</t>
        </is>
      </c>
      <c r="S21" s="8" t="inlineStr">
        <is>
          <t>None on Daraz - open field</t>
        </is>
      </c>
      <c r="T21" s="15">
        <f>IF(E21="Profit",1,IF(O21&gt;2500,2,3))</f>
        <v/>
      </c>
      <c r="U21" s="8" t="inlineStr">
        <is>
          <t>Payback maths on camera: chair cost vs monthly chair revenue</t>
        </is>
      </c>
      <c r="V21" s="8" t="inlineStr">
        <is>
          <t>No Daraz Nepal listing found. Price set from landed cost + target margin. You set the anchor here.</t>
        </is>
      </c>
      <c r="W21" s="16">
        <f>IFERROR(ROUND(MIN(10,O21/1500)*IF(E21="Profit",1.4,1),2),"")</f>
        <v/>
      </c>
    </row>
    <row r="22" ht="30" customHeight="1">
      <c r="A22" s="10" t="inlineStr">
        <is>
          <t>ETP-018</t>
        </is>
      </c>
      <c r="B22" s="8" t="inlineStr">
        <is>
          <t>Ikonic Reclining Chair Milano</t>
        </is>
      </c>
      <c r="C22" s="10" t="inlineStr">
        <is>
          <t>Ikonic</t>
        </is>
      </c>
      <c r="D22" s="10" t="inlineStr">
        <is>
          <t>Salon Furniture &amp; Equipment</t>
        </is>
      </c>
      <c r="E22" s="10" t="inlineStr">
        <is>
          <t>Profit</t>
        </is>
      </c>
      <c r="F22" s="10" t="inlineStr">
        <is>
          <t>B2B</t>
        </is>
      </c>
      <c r="G22" s="8" t="inlineStr">
        <is>
          <t>Salon / parlour owner fitting or upgrading a floor</t>
        </is>
      </c>
      <c r="H22" s="11" t="n">
        <v>40000</v>
      </c>
      <c r="I22" s="11" t="n">
        <v>50000</v>
      </c>
      <c r="J22" s="11" t="n"/>
      <c r="K22" s="12" t="inlineStr">
        <is>
          <t>NO-NEPAL-LISTING</t>
        </is>
      </c>
      <c r="L22" s="13">
        <f>IF(J22&gt;0,J22,ROUND(P22/(1-M22),-1))</f>
        <v/>
      </c>
      <c r="M22" s="14" t="n">
        <v>0.5</v>
      </c>
      <c r="N22" s="13">
        <f>ROUND(L22*(1-M22),0)</f>
        <v/>
      </c>
      <c r="O22" s="13">
        <f>L22-N22</f>
        <v/>
      </c>
      <c r="P22" s="13">
        <f>IF(H22&gt;0,ROUND(H22*(1-IF(E22="Profit",DIST_FURN,DIST_TOOL))*FX_PEG*LANDED_MULT,0),"")</f>
        <v/>
      </c>
      <c r="Q22" s="8" t="inlineStr">
        <is>
          <t>https://www.ikonicworld.com/products/ik-375a-barber-chair-black</t>
        </is>
      </c>
      <c r="R22" s="8" t="inlineStr">
        <is>
          <t>Steady - every new salon fit-out</t>
        </is>
      </c>
      <c r="S22" s="8" t="inlineStr">
        <is>
          <t>None on Daraz - open field</t>
        </is>
      </c>
      <c r="T22" s="15">
        <f>IF(E22="Profit",1,IF(O22&gt;2500,2,3))</f>
        <v/>
      </c>
      <c r="U22" s="8" t="inlineStr">
        <is>
          <t>Payback maths on camera: chair cost vs monthly chair revenue</t>
        </is>
      </c>
      <c r="V22" s="8" t="inlineStr">
        <is>
          <t>No Daraz Nepal listing found. Price set from landed cost + target margin. You set the anchor here.</t>
        </is>
      </c>
      <c r="W22" s="16">
        <f>IFERROR(ROUND(MIN(10,O22/1500)*IF(E22="Profit",1.4,1),2),"")</f>
        <v/>
      </c>
    </row>
    <row r="23" ht="30" customHeight="1">
      <c r="A23" s="10" t="inlineStr">
        <is>
          <t>ETP-019</t>
        </is>
      </c>
      <c r="B23" s="8" t="inlineStr">
        <is>
          <t>Ikonic Micro Mist Asa</t>
        </is>
      </c>
      <c r="C23" s="10" t="inlineStr">
        <is>
          <t>Ikonic</t>
        </is>
      </c>
      <c r="D23" s="10" t="inlineStr">
        <is>
          <t>Salon Furniture &amp; Equipment</t>
        </is>
      </c>
      <c r="E23" s="10" t="inlineStr">
        <is>
          <t>Profit</t>
        </is>
      </c>
      <c r="F23" s="10" t="inlineStr">
        <is>
          <t>B2B</t>
        </is>
      </c>
      <c r="G23" s="8" t="inlineStr">
        <is>
          <t>Salon / parlour owner fitting or upgrading a floor</t>
        </is>
      </c>
      <c r="H23" s="11" t="n">
        <v>38800</v>
      </c>
      <c r="I23" s="11" t="n">
        <v>48500</v>
      </c>
      <c r="J23" s="11" t="n"/>
      <c r="K23" s="12" t="inlineStr">
        <is>
          <t>NO-NEPAL-LISTING</t>
        </is>
      </c>
      <c r="L23" s="13">
        <f>IF(J23&gt;0,J23,ROUND(P23/(1-M23),-1))</f>
        <v/>
      </c>
      <c r="M23" s="14" t="n">
        <v>0.5</v>
      </c>
      <c r="N23" s="13">
        <f>ROUND(L23*(1-M23),0)</f>
        <v/>
      </c>
      <c r="O23" s="13">
        <f>L23-N23</f>
        <v/>
      </c>
      <c r="P23" s="13">
        <f>IF(H23&gt;0,ROUND(H23*(1-IF(E23="Profit",DIST_FURN,DIST_TOOL))*FX_PEG*LANDED_MULT,0),"")</f>
        <v/>
      </c>
      <c r="Q23" s="8" t="inlineStr">
        <is>
          <t>https://www.ikonicworld.com/products/ik-1408d-micro-hair-steamer</t>
        </is>
      </c>
      <c r="R23" s="8" t="inlineStr">
        <is>
          <t>Steady - every new salon fit-out</t>
        </is>
      </c>
      <c r="S23" s="8" t="inlineStr">
        <is>
          <t>None on Daraz - open field</t>
        </is>
      </c>
      <c r="T23" s="15">
        <f>IF(E23="Profit",1,IF(O23&gt;2500,2,3))</f>
        <v/>
      </c>
      <c r="U23" s="8" t="inlineStr">
        <is>
          <t>Payback maths on camera: chair cost vs monthly chair revenue</t>
        </is>
      </c>
      <c r="V23" s="8" t="inlineStr">
        <is>
          <t>No Daraz Nepal listing found. Price set from landed cost + target margin. You set the anchor here.</t>
        </is>
      </c>
      <c r="W23" s="16">
        <f>IFERROR(ROUND(MIN(10,O23/1500)*IF(E23="Profit",1.4,1),2),"")</f>
        <v/>
      </c>
    </row>
    <row r="24" ht="30" customHeight="1">
      <c r="A24" s="10" t="inlineStr">
        <is>
          <t>ETP-020</t>
        </is>
      </c>
      <c r="B24" s="8" t="inlineStr">
        <is>
          <t>KYO PEDI SPA TUB</t>
        </is>
      </c>
      <c r="C24" s="10" t="inlineStr">
        <is>
          <t>Ikonic</t>
        </is>
      </c>
      <c r="D24" s="10" t="inlineStr">
        <is>
          <t>Salon Furniture &amp; Equipment</t>
        </is>
      </c>
      <c r="E24" s="10" t="inlineStr">
        <is>
          <t>Profit</t>
        </is>
      </c>
      <c r="F24" s="10" t="inlineStr">
        <is>
          <t>B2B</t>
        </is>
      </c>
      <c r="G24" s="8" t="inlineStr">
        <is>
          <t>Salon / parlour owner fitting or upgrading a floor</t>
        </is>
      </c>
      <c r="H24" s="11" t="n">
        <v>36800</v>
      </c>
      <c r="I24" s="11" t="n">
        <v>46000</v>
      </c>
      <c r="J24" s="11" t="n"/>
      <c r="K24" s="12" t="inlineStr">
        <is>
          <t>NO-NEPAL-LISTING</t>
        </is>
      </c>
      <c r="L24" s="13">
        <f>IF(J24&gt;0,J24,ROUND(P24/(1-M24),-1))</f>
        <v/>
      </c>
      <c r="M24" s="14" t="n">
        <v>0.5</v>
      </c>
      <c r="N24" s="13">
        <f>ROUND(L24*(1-M24),0)</f>
        <v/>
      </c>
      <c r="O24" s="13">
        <f>L24-N24</f>
        <v/>
      </c>
      <c r="P24" s="13">
        <f>IF(H24&gt;0,ROUND(H24*(1-IF(E24="Profit",DIST_FURN,DIST_TOOL))*FX_PEG*LANDED_MULT,0),"")</f>
        <v/>
      </c>
      <c r="Q24" s="8" t="inlineStr">
        <is>
          <t>https://www.ikonicworld.com/products/kyo-pedi-spa-tub</t>
        </is>
      </c>
      <c r="R24" s="8" t="inlineStr">
        <is>
          <t>Steady - every new salon fit-out</t>
        </is>
      </c>
      <c r="S24" s="8" t="inlineStr">
        <is>
          <t>None on Daraz - open field</t>
        </is>
      </c>
      <c r="T24" s="15">
        <f>IF(E24="Profit",1,IF(O24&gt;2500,2,3))</f>
        <v/>
      </c>
      <c r="U24" s="8" t="inlineStr">
        <is>
          <t>Payback maths on camera: chair cost vs monthly chair revenue</t>
        </is>
      </c>
      <c r="V24" s="8" t="inlineStr">
        <is>
          <t>No Daraz Nepal listing found. Price set from landed cost + target margin. You set the anchor here.</t>
        </is>
      </c>
      <c r="W24" s="16">
        <f>IFERROR(ROUND(MIN(10,O24/1500)*IF(E24="Profit",1.4,1),2),"")</f>
        <v/>
      </c>
    </row>
    <row r="25" ht="30" customHeight="1">
      <c r="A25" s="10" t="inlineStr">
        <is>
          <t>ETP-021</t>
        </is>
      </c>
      <c r="B25" s="8" t="inlineStr">
        <is>
          <t>Ikonic Spa Bed Athena</t>
        </is>
      </c>
      <c r="C25" s="10" t="inlineStr">
        <is>
          <t>Ikonic</t>
        </is>
      </c>
      <c r="D25" s="10" t="inlineStr">
        <is>
          <t>Salon Furniture &amp; Equipment</t>
        </is>
      </c>
      <c r="E25" s="10" t="inlineStr">
        <is>
          <t>Profit</t>
        </is>
      </c>
      <c r="F25" s="10" t="inlineStr">
        <is>
          <t>B2B</t>
        </is>
      </c>
      <c r="G25" s="8" t="inlineStr">
        <is>
          <t>Salon / parlour owner fitting or upgrading a floor</t>
        </is>
      </c>
      <c r="H25" s="11" t="n">
        <v>36000</v>
      </c>
      <c r="I25" s="11" t="n">
        <v>45000</v>
      </c>
      <c r="J25" s="11" t="n"/>
      <c r="K25" s="12" t="inlineStr">
        <is>
          <t>NO-NEPAL-LISTING</t>
        </is>
      </c>
      <c r="L25" s="13">
        <f>IF(J25&gt;0,J25,ROUND(P25/(1-M25),-1))</f>
        <v/>
      </c>
      <c r="M25" s="14" t="n">
        <v>0.5</v>
      </c>
      <c r="N25" s="13">
        <f>ROUND(L25*(1-M25),0)</f>
        <v/>
      </c>
      <c r="O25" s="13">
        <f>L25-N25</f>
        <v/>
      </c>
      <c r="P25" s="13">
        <f>IF(H25&gt;0,ROUND(H25*(1-IF(E25="Profit",DIST_FURN,DIST_TOOL))*FX_PEG*LANDED_MULT,0),"")</f>
        <v/>
      </c>
      <c r="Q25" s="8" t="inlineStr">
        <is>
          <t>https://www.ikonicworld.com/products/athena-spa-bed</t>
        </is>
      </c>
      <c r="R25" s="8" t="inlineStr">
        <is>
          <t>Steady - every new salon fit-out</t>
        </is>
      </c>
      <c r="S25" s="8" t="inlineStr">
        <is>
          <t>None on Daraz - open field</t>
        </is>
      </c>
      <c r="T25" s="15">
        <f>IF(E25="Profit",1,IF(O25&gt;2500,2,3))</f>
        <v/>
      </c>
      <c r="U25" s="8" t="inlineStr">
        <is>
          <t>Payback maths on camera: chair cost vs monthly chair revenue</t>
        </is>
      </c>
      <c r="V25" s="8" t="inlineStr">
        <is>
          <t>No Daraz Nepal listing found. Price set from landed cost + target margin. You set the anchor here.</t>
        </is>
      </c>
      <c r="W25" s="16">
        <f>IFERROR(ROUND(MIN(10,O25/1500)*IF(E25="Profit",1.4,1),2),"")</f>
        <v/>
      </c>
    </row>
    <row r="26" ht="30" customHeight="1">
      <c r="A26" s="10" t="inlineStr">
        <is>
          <t>ETP-022</t>
        </is>
      </c>
      <c r="B26" s="8" t="inlineStr">
        <is>
          <t>Ikonic Reclining Chair Kinley</t>
        </is>
      </c>
      <c r="C26" s="10" t="inlineStr">
        <is>
          <t>Ikonic</t>
        </is>
      </c>
      <c r="D26" s="10" t="inlineStr">
        <is>
          <t>Salon Furniture &amp; Equipment</t>
        </is>
      </c>
      <c r="E26" s="10" t="inlineStr">
        <is>
          <t>Profit</t>
        </is>
      </c>
      <c r="F26" s="10" t="inlineStr">
        <is>
          <t>B2B</t>
        </is>
      </c>
      <c r="G26" s="8" t="inlineStr">
        <is>
          <t>Salon / parlour owner fitting or upgrading a floor</t>
        </is>
      </c>
      <c r="H26" s="11" t="n">
        <v>35200</v>
      </c>
      <c r="I26" s="11" t="n">
        <v>44000</v>
      </c>
      <c r="J26" s="11" t="n"/>
      <c r="K26" s="12" t="inlineStr">
        <is>
          <t>NO-NEPAL-LISTING</t>
        </is>
      </c>
      <c r="L26" s="13">
        <f>IF(J26&gt;0,J26,ROUND(P26/(1-M26),-1))</f>
        <v/>
      </c>
      <c r="M26" s="14" t="n">
        <v>0.5</v>
      </c>
      <c r="N26" s="13">
        <f>ROUND(L26*(1-M26),0)</f>
        <v/>
      </c>
      <c r="O26" s="13">
        <f>L26-N26</f>
        <v/>
      </c>
      <c r="P26" s="13">
        <f>IF(H26&gt;0,ROUND(H26*(1-IF(E26="Profit",DIST_FURN,DIST_TOOL))*FX_PEG*LANDED_MULT,0),"")</f>
        <v/>
      </c>
      <c r="Q26" s="8" t="inlineStr">
        <is>
          <t>https://www.ikonicworld.com/products/ikonic-reclining-chair-kinley-grey</t>
        </is>
      </c>
      <c r="R26" s="8" t="inlineStr">
        <is>
          <t>Steady - every new salon fit-out</t>
        </is>
      </c>
      <c r="S26" s="8" t="inlineStr">
        <is>
          <t>None on Daraz - open field</t>
        </is>
      </c>
      <c r="T26" s="15">
        <f>IF(E26="Profit",1,IF(O26&gt;2500,2,3))</f>
        <v/>
      </c>
      <c r="U26" s="8" t="inlineStr">
        <is>
          <t>Payback maths on camera: chair cost vs monthly chair revenue</t>
        </is>
      </c>
      <c r="V26" s="8" t="inlineStr">
        <is>
          <t>No Daraz Nepal listing found. Price set from landed cost + target margin. You set the anchor here.</t>
        </is>
      </c>
      <c r="W26" s="16">
        <f>IFERROR(ROUND(MIN(10,O26/1500)*IF(E26="Profit",1.4,1),2),"")</f>
        <v/>
      </c>
    </row>
    <row r="27" ht="30" customHeight="1">
      <c r="A27" s="10" t="inlineStr">
        <is>
          <t>ETP-023</t>
        </is>
      </c>
      <c r="B27" s="8" t="inlineStr">
        <is>
          <t>Ikonic Lush Reclining Cutting Chair</t>
        </is>
      </c>
      <c r="C27" s="10" t="inlineStr">
        <is>
          <t>Ikonic</t>
        </is>
      </c>
      <c r="D27" s="10" t="inlineStr">
        <is>
          <t>Salon Furniture &amp; Equipment</t>
        </is>
      </c>
      <c r="E27" s="10" t="inlineStr">
        <is>
          <t>Profit</t>
        </is>
      </c>
      <c r="F27" s="10" t="inlineStr">
        <is>
          <t>B2B</t>
        </is>
      </c>
      <c r="G27" s="8" t="inlineStr">
        <is>
          <t>Salon / parlour owner fitting or upgrading a floor</t>
        </is>
      </c>
      <c r="H27" s="11" t="n">
        <v>34800</v>
      </c>
      <c r="I27" s="11" t="n">
        <v>43500</v>
      </c>
      <c r="J27" s="11" t="n"/>
      <c r="K27" s="12" t="inlineStr">
        <is>
          <t>NO-NEPAL-LISTING</t>
        </is>
      </c>
      <c r="L27" s="13">
        <f>IF(J27&gt;0,J27,ROUND(P27/(1-M27),-1))</f>
        <v/>
      </c>
      <c r="M27" s="14" t="n">
        <v>0.5</v>
      </c>
      <c r="N27" s="13">
        <f>ROUND(L27*(1-M27),0)</f>
        <v/>
      </c>
      <c r="O27" s="13">
        <f>L27-N27</f>
        <v/>
      </c>
      <c r="P27" s="13">
        <f>IF(H27&gt;0,ROUND(H27*(1-IF(E27="Profit",DIST_FURN,DIST_TOOL))*FX_PEG*LANDED_MULT,0),"")</f>
        <v/>
      </c>
      <c r="Q27" s="8" t="inlineStr">
        <is>
          <t>https://www.ikonicworld.com/products/ik-68486a-reclining-cutting-chair-black</t>
        </is>
      </c>
      <c r="R27" s="8" t="inlineStr">
        <is>
          <t>Steady - every new salon fit-out</t>
        </is>
      </c>
      <c r="S27" s="8" t="inlineStr">
        <is>
          <t>None on Daraz - open field</t>
        </is>
      </c>
      <c r="T27" s="15">
        <f>IF(E27="Profit",1,IF(O27&gt;2500,2,3))</f>
        <v/>
      </c>
      <c r="U27" s="8" t="inlineStr">
        <is>
          <t>Payback maths on camera: chair cost vs monthly chair revenue</t>
        </is>
      </c>
      <c r="V27" s="8" t="inlineStr">
        <is>
          <t>No Daraz Nepal listing found. Price set from landed cost + target margin. You set the anchor here.</t>
        </is>
      </c>
      <c r="W27" s="16">
        <f>IFERROR(ROUND(MIN(10,O27/1500)*IF(E27="Profit",1.4,1),2),"")</f>
        <v/>
      </c>
    </row>
    <row r="28" ht="30" customHeight="1">
      <c r="A28" s="10" t="inlineStr">
        <is>
          <t>ETP-024</t>
        </is>
      </c>
      <c r="B28" s="8" t="inlineStr">
        <is>
          <t>Ikonic Reclining Chair Kanon</t>
        </is>
      </c>
      <c r="C28" s="10" t="inlineStr">
        <is>
          <t>Ikonic</t>
        </is>
      </c>
      <c r="D28" s="10" t="inlineStr">
        <is>
          <t>Salon Furniture &amp; Equipment</t>
        </is>
      </c>
      <c r="E28" s="10" t="inlineStr">
        <is>
          <t>Profit</t>
        </is>
      </c>
      <c r="F28" s="10" t="inlineStr">
        <is>
          <t>B2B</t>
        </is>
      </c>
      <c r="G28" s="8" t="inlineStr">
        <is>
          <t>Salon / parlour owner fitting or upgrading a floor</t>
        </is>
      </c>
      <c r="H28" s="11" t="n">
        <v>33600</v>
      </c>
      <c r="I28" s="11" t="n">
        <v>42000</v>
      </c>
      <c r="J28" s="11" t="n"/>
      <c r="K28" s="12" t="inlineStr">
        <is>
          <t>NO-NEPAL-LISTING</t>
        </is>
      </c>
      <c r="L28" s="13">
        <f>IF(J28&gt;0,J28,ROUND(P28/(1-M28),-1))</f>
        <v/>
      </c>
      <c r="M28" s="14" t="n">
        <v>0.5</v>
      </c>
      <c r="N28" s="13">
        <f>ROUND(L28*(1-M28),0)</f>
        <v/>
      </c>
      <c r="O28" s="13">
        <f>L28-N28</f>
        <v/>
      </c>
      <c r="P28" s="13">
        <f>IF(H28&gt;0,ROUND(H28*(1-IF(E28="Profit",DIST_FURN,DIST_TOOL))*FX_PEG*LANDED_MULT,0),"")</f>
        <v/>
      </c>
      <c r="Q28" s="8" t="inlineStr">
        <is>
          <t>https://www.ikonicworld.com/products/ikonic-reclining-chair-kanon-ik-3079</t>
        </is>
      </c>
      <c r="R28" s="8" t="inlineStr">
        <is>
          <t>Steady - every new salon fit-out</t>
        </is>
      </c>
      <c r="S28" s="8" t="inlineStr">
        <is>
          <t>None on Daraz - open field</t>
        </is>
      </c>
      <c r="T28" s="15">
        <f>IF(E28="Profit",1,IF(O28&gt;2500,2,3))</f>
        <v/>
      </c>
      <c r="U28" s="8" t="inlineStr">
        <is>
          <t>Payback maths on camera: chair cost vs monthly chair revenue</t>
        </is>
      </c>
      <c r="V28" s="8" t="inlineStr">
        <is>
          <t>No Daraz Nepal listing found. Price set from landed cost + target margin. You set the anchor here.</t>
        </is>
      </c>
      <c r="W28" s="16">
        <f>IFERROR(ROUND(MIN(10,O28/1500)*IF(E28="Profit",1.4,1),2),"")</f>
        <v/>
      </c>
    </row>
    <row r="29" ht="30" customHeight="1">
      <c r="A29" s="10" t="inlineStr">
        <is>
          <t>ETP-025</t>
        </is>
      </c>
      <c r="B29" s="8" t="inlineStr">
        <is>
          <t>Ikonic Cutting Chair Lavish</t>
        </is>
      </c>
      <c r="C29" s="10" t="inlineStr">
        <is>
          <t>Ikonic</t>
        </is>
      </c>
      <c r="D29" s="10" t="inlineStr">
        <is>
          <t>Salon Furniture &amp; Equipment</t>
        </is>
      </c>
      <c r="E29" s="10" t="inlineStr">
        <is>
          <t>Profit</t>
        </is>
      </c>
      <c r="F29" s="10" t="inlineStr">
        <is>
          <t>B2B</t>
        </is>
      </c>
      <c r="G29" s="8" t="inlineStr">
        <is>
          <t>Salon / parlour owner fitting or upgrading a floor</t>
        </is>
      </c>
      <c r="H29" s="11" t="n">
        <v>32800</v>
      </c>
      <c r="I29" s="11" t="n">
        <v>41000</v>
      </c>
      <c r="J29" s="11" t="n"/>
      <c r="K29" s="12" t="inlineStr">
        <is>
          <t>NO-NEPAL-LISTING</t>
        </is>
      </c>
      <c r="L29" s="13">
        <f>IF(J29&gt;0,J29,ROUND(P29/(1-M29),-1))</f>
        <v/>
      </c>
      <c r="M29" s="14" t="n">
        <v>0.5</v>
      </c>
      <c r="N29" s="13">
        <f>ROUND(L29*(1-M29),0)</f>
        <v/>
      </c>
      <c r="O29" s="13">
        <f>L29-N29</f>
        <v/>
      </c>
      <c r="P29" s="13">
        <f>IF(H29&gt;0,ROUND(H29*(1-IF(E29="Profit",DIST_FURN,DIST_TOOL))*FX_PEG*LANDED_MULT,0),"")</f>
        <v/>
      </c>
      <c r="Q29" s="8" t="inlineStr">
        <is>
          <t>https://www.ikonicworld.com/products/ik-356-cutting-chair-green-black</t>
        </is>
      </c>
      <c r="R29" s="8" t="inlineStr">
        <is>
          <t>Steady - every new salon fit-out</t>
        </is>
      </c>
      <c r="S29" s="8" t="inlineStr">
        <is>
          <t>None on Daraz - open field</t>
        </is>
      </c>
      <c r="T29" s="15">
        <f>IF(E29="Profit",1,IF(O29&gt;2500,2,3))</f>
        <v/>
      </c>
      <c r="U29" s="8" t="inlineStr">
        <is>
          <t>Payback maths on camera: chair cost vs monthly chair revenue</t>
        </is>
      </c>
      <c r="V29" s="8" t="inlineStr">
        <is>
          <t>No Daraz Nepal listing found. Price set from landed cost + target margin. You set the anchor here.</t>
        </is>
      </c>
      <c r="W29" s="16">
        <f>IFERROR(ROUND(MIN(10,O29/1500)*IF(E29="Profit",1.4,1),2),"")</f>
        <v/>
      </c>
    </row>
    <row r="30" ht="30" customHeight="1">
      <c r="A30" s="10" t="inlineStr">
        <is>
          <t>ETP-026</t>
        </is>
      </c>
      <c r="B30" s="8" t="inlineStr">
        <is>
          <t>Ikonic Facial Spa Bed Hestia</t>
        </is>
      </c>
      <c r="C30" s="10" t="inlineStr">
        <is>
          <t>Ikonic</t>
        </is>
      </c>
      <c r="D30" s="10" t="inlineStr">
        <is>
          <t>Salon Furniture &amp; Equipment</t>
        </is>
      </c>
      <c r="E30" s="10" t="inlineStr">
        <is>
          <t>Profit</t>
        </is>
      </c>
      <c r="F30" s="10" t="inlineStr">
        <is>
          <t>B2B</t>
        </is>
      </c>
      <c r="G30" s="8" t="inlineStr">
        <is>
          <t>Salon / parlour owner fitting or upgrading a floor</t>
        </is>
      </c>
      <c r="H30" s="11" t="n">
        <v>32000</v>
      </c>
      <c r="I30" s="11" t="n">
        <v>40000</v>
      </c>
      <c r="J30" s="11" t="n"/>
      <c r="K30" s="12" t="inlineStr">
        <is>
          <t>NO-NEPAL-LISTING</t>
        </is>
      </c>
      <c r="L30" s="13">
        <f>IF(J30&gt;0,J30,ROUND(P30/(1-M30),-1))</f>
        <v/>
      </c>
      <c r="M30" s="14" t="n">
        <v>0.5</v>
      </c>
      <c r="N30" s="13">
        <f>ROUND(L30*(1-M30),0)</f>
        <v/>
      </c>
      <c r="O30" s="13">
        <f>L30-N30</f>
        <v/>
      </c>
      <c r="P30" s="13">
        <f>IF(H30&gt;0,ROUND(H30*(1-IF(E30="Profit",DIST_FURN,DIST_TOOL))*FX_PEG*LANDED_MULT,0),"")</f>
        <v/>
      </c>
      <c r="Q30" s="8" t="inlineStr">
        <is>
          <t>https://www.ikonicworld.com/products/hestia-facial-spa-bed</t>
        </is>
      </c>
      <c r="R30" s="8" t="inlineStr">
        <is>
          <t>Steady - every new salon fit-out</t>
        </is>
      </c>
      <c r="S30" s="8" t="inlineStr">
        <is>
          <t>None on Daraz - open field</t>
        </is>
      </c>
      <c r="T30" s="15">
        <f>IF(E30="Profit",1,IF(O30&gt;2500,2,3))</f>
        <v/>
      </c>
      <c r="U30" s="8" t="inlineStr">
        <is>
          <t>Payback maths on camera: chair cost vs monthly chair revenue</t>
        </is>
      </c>
      <c r="V30" s="8" t="inlineStr">
        <is>
          <t>No Daraz Nepal listing found. Price set from landed cost + target margin. You set the anchor here.</t>
        </is>
      </c>
      <c r="W30" s="16">
        <f>IFERROR(ROUND(MIN(10,O30/1500)*IF(E30="Profit",1.4,1),2),"")</f>
        <v/>
      </c>
    </row>
    <row r="31" ht="30" customHeight="1">
      <c r="A31" s="10" t="inlineStr">
        <is>
          <t>ETP-027</t>
        </is>
      </c>
      <c r="B31" s="8" t="inlineStr">
        <is>
          <t>Ikonic Cutting Chair Arthur</t>
        </is>
      </c>
      <c r="C31" s="10" t="inlineStr">
        <is>
          <t>Ikonic</t>
        </is>
      </c>
      <c r="D31" s="10" t="inlineStr">
        <is>
          <t>Salon Furniture &amp; Equipment</t>
        </is>
      </c>
      <c r="E31" s="10" t="inlineStr">
        <is>
          <t>Profit</t>
        </is>
      </c>
      <c r="F31" s="10" t="inlineStr">
        <is>
          <t>B2B</t>
        </is>
      </c>
      <c r="G31" s="8" t="inlineStr">
        <is>
          <t>Salon / parlour owner fitting or upgrading a floor</t>
        </is>
      </c>
      <c r="H31" s="11" t="n">
        <v>32000</v>
      </c>
      <c r="I31" s="11" t="n">
        <v>40000</v>
      </c>
      <c r="J31" s="11" t="n"/>
      <c r="K31" s="12" t="inlineStr">
        <is>
          <t>NO-NEPAL-LISTING</t>
        </is>
      </c>
      <c r="L31" s="13">
        <f>IF(J31&gt;0,J31,ROUND(P31/(1-M31),-1))</f>
        <v/>
      </c>
      <c r="M31" s="14" t="n">
        <v>0.5</v>
      </c>
      <c r="N31" s="13">
        <f>ROUND(L31*(1-M31),0)</f>
        <v/>
      </c>
      <c r="O31" s="13">
        <f>L31-N31</f>
        <v/>
      </c>
      <c r="P31" s="13">
        <f>IF(H31&gt;0,ROUND(H31*(1-IF(E31="Profit",DIST_FURN,DIST_TOOL))*FX_PEG*LANDED_MULT,0),"")</f>
        <v/>
      </c>
      <c r="Q31" s="8" t="inlineStr">
        <is>
          <t>https://www.ikonicworld.com/products/ikonic-arthur-cutting-chair-ik-1052</t>
        </is>
      </c>
      <c r="R31" s="8" t="inlineStr">
        <is>
          <t>Steady - every new salon fit-out</t>
        </is>
      </c>
      <c r="S31" s="8" t="inlineStr">
        <is>
          <t>None on Daraz - open field</t>
        </is>
      </c>
      <c r="T31" s="15">
        <f>IF(E31="Profit",1,IF(O31&gt;2500,2,3))</f>
        <v/>
      </c>
      <c r="U31" s="8" t="inlineStr">
        <is>
          <t>Payback maths on camera: chair cost vs monthly chair revenue</t>
        </is>
      </c>
      <c r="V31" s="8" t="inlineStr">
        <is>
          <t>No Daraz Nepal listing found. Price set from landed cost + target margin. You set the anchor here.</t>
        </is>
      </c>
      <c r="W31" s="16">
        <f>IFERROR(ROUND(MIN(10,O31/1500)*IF(E31="Profit",1.4,1),2),"")</f>
        <v/>
      </c>
    </row>
    <row r="32" ht="30" customHeight="1">
      <c r="A32" s="10" t="inlineStr">
        <is>
          <t>ETP-028</t>
        </is>
      </c>
      <c r="B32" s="8" t="inlineStr">
        <is>
          <t>Ikonic Barber Chair Prestige</t>
        </is>
      </c>
      <c r="C32" s="10" t="inlineStr">
        <is>
          <t>Ikonic</t>
        </is>
      </c>
      <c r="D32" s="10" t="inlineStr">
        <is>
          <t>Salon Furniture &amp; Equipment</t>
        </is>
      </c>
      <c r="E32" s="10" t="inlineStr">
        <is>
          <t>Profit</t>
        </is>
      </c>
      <c r="F32" s="10" t="inlineStr">
        <is>
          <t>B2B</t>
        </is>
      </c>
      <c r="G32" s="8" t="inlineStr">
        <is>
          <t>Salon / parlour owner fitting or upgrading a floor</t>
        </is>
      </c>
      <c r="H32" s="11" t="n">
        <v>31200</v>
      </c>
      <c r="I32" s="11" t="n">
        <v>39000</v>
      </c>
      <c r="J32" s="11" t="n"/>
      <c r="K32" s="12" t="inlineStr">
        <is>
          <t>NO-NEPAL-LISTING</t>
        </is>
      </c>
      <c r="L32" s="13">
        <f>IF(J32&gt;0,J32,ROUND(P32/(1-M32),-1))</f>
        <v/>
      </c>
      <c r="M32" s="14" t="n">
        <v>0.5</v>
      </c>
      <c r="N32" s="13">
        <f>ROUND(L32*(1-M32),0)</f>
        <v/>
      </c>
      <c r="O32" s="13">
        <f>L32-N32</f>
        <v/>
      </c>
      <c r="P32" s="13">
        <f>IF(H32&gt;0,ROUND(H32*(1-IF(E32="Profit",DIST_FURN,DIST_TOOL))*FX_PEG*LANDED_MULT,0),"")</f>
        <v/>
      </c>
      <c r="Q32" s="8" t="inlineStr">
        <is>
          <t>https://www.ikonicworld.com/products/ik-2687-black</t>
        </is>
      </c>
      <c r="R32" s="8" t="inlineStr">
        <is>
          <t>Steady - every new salon fit-out</t>
        </is>
      </c>
      <c r="S32" s="8" t="inlineStr">
        <is>
          <t>None on Daraz - open field</t>
        </is>
      </c>
      <c r="T32" s="15">
        <f>IF(E32="Profit",1,IF(O32&gt;2500,2,3))</f>
        <v/>
      </c>
      <c r="U32" s="8" t="inlineStr">
        <is>
          <t>Payback maths on camera: chair cost vs monthly chair revenue</t>
        </is>
      </c>
      <c r="V32" s="8" t="inlineStr">
        <is>
          <t>No Daraz Nepal listing found. Price set from landed cost + target margin. You set the anchor here.</t>
        </is>
      </c>
      <c r="W32" s="16">
        <f>IFERROR(ROUND(MIN(10,O32/1500)*IF(E32="Profit",1.4,1),2),"")</f>
        <v/>
      </c>
    </row>
    <row r="33" ht="30" customHeight="1">
      <c r="A33" s="10" t="inlineStr">
        <is>
          <t>ETP-029</t>
        </is>
      </c>
      <c r="B33" s="8" t="inlineStr">
        <is>
          <t>Ikonic Cutting Chair Poised</t>
        </is>
      </c>
      <c r="C33" s="10" t="inlineStr">
        <is>
          <t>Ikonic</t>
        </is>
      </c>
      <c r="D33" s="10" t="inlineStr">
        <is>
          <t>Salon Furniture &amp; Equipment</t>
        </is>
      </c>
      <c r="E33" s="10" t="inlineStr">
        <is>
          <t>Profit</t>
        </is>
      </c>
      <c r="F33" s="10" t="inlineStr">
        <is>
          <t>B2B</t>
        </is>
      </c>
      <c r="G33" s="8" t="inlineStr">
        <is>
          <t>Salon / parlour owner fitting or upgrading a floor</t>
        </is>
      </c>
      <c r="H33" s="11" t="n">
        <v>30800</v>
      </c>
      <c r="I33" s="11" t="n">
        <v>38500</v>
      </c>
      <c r="J33" s="11" t="n"/>
      <c r="K33" s="12" t="inlineStr">
        <is>
          <t>NO-NEPAL-LISTING</t>
        </is>
      </c>
      <c r="L33" s="13">
        <f>IF(J33&gt;0,J33,ROUND(P33/(1-M33),-1))</f>
        <v/>
      </c>
      <c r="M33" s="14" t="n">
        <v>0.5</v>
      </c>
      <c r="N33" s="13">
        <f>ROUND(L33*(1-M33),0)</f>
        <v/>
      </c>
      <c r="O33" s="13">
        <f>L33-N33</f>
        <v/>
      </c>
      <c r="P33" s="13">
        <f>IF(H33&gt;0,ROUND(H33*(1-IF(E33="Profit",DIST_FURN,DIST_TOOL))*FX_PEG*LANDED_MULT,0),"")</f>
        <v/>
      </c>
      <c r="Q33" s="8" t="inlineStr">
        <is>
          <t>https://www.ikonicworld.com/products/ik-271-cutting-chair-beige</t>
        </is>
      </c>
      <c r="R33" s="8" t="inlineStr">
        <is>
          <t>Steady - every new salon fit-out</t>
        </is>
      </c>
      <c r="S33" s="8" t="inlineStr">
        <is>
          <t>None on Daraz - open field</t>
        </is>
      </c>
      <c r="T33" s="15">
        <f>IF(E33="Profit",1,IF(O33&gt;2500,2,3))</f>
        <v/>
      </c>
      <c r="U33" s="8" t="inlineStr">
        <is>
          <t>Payback maths on camera: chair cost vs monthly chair revenue</t>
        </is>
      </c>
      <c r="V33" s="8" t="inlineStr">
        <is>
          <t>No Daraz Nepal listing found. Price set from landed cost + target margin. You set the anchor here.</t>
        </is>
      </c>
      <c r="W33" s="16">
        <f>IFERROR(ROUND(MIN(10,O33/1500)*IF(E33="Profit",1.4,1),2),"")</f>
        <v/>
      </c>
    </row>
    <row r="34" ht="30" customHeight="1">
      <c r="A34" s="10" t="inlineStr">
        <is>
          <t>ETP-030</t>
        </is>
      </c>
      <c r="B34" s="8" t="inlineStr">
        <is>
          <t>Rome Spa Bed</t>
        </is>
      </c>
      <c r="C34" s="10" t="inlineStr">
        <is>
          <t>Ikonic</t>
        </is>
      </c>
      <c r="D34" s="10" t="inlineStr">
        <is>
          <t>Salon Furniture &amp; Equipment</t>
        </is>
      </c>
      <c r="E34" s="10" t="inlineStr">
        <is>
          <t>Profit</t>
        </is>
      </c>
      <c r="F34" s="10" t="inlineStr">
        <is>
          <t>B2B</t>
        </is>
      </c>
      <c r="G34" s="8" t="inlineStr">
        <is>
          <t>Salon / parlour owner fitting or upgrading a floor</t>
        </is>
      </c>
      <c r="H34" s="11" t="n">
        <v>30400</v>
      </c>
      <c r="I34" s="11" t="n">
        <v>38000</v>
      </c>
      <c r="J34" s="11" t="n"/>
      <c r="K34" s="12" t="inlineStr">
        <is>
          <t>NO-NEPAL-LISTING</t>
        </is>
      </c>
      <c r="L34" s="13">
        <f>IF(J34&gt;0,J34,ROUND(P34/(1-M34),-1))</f>
        <v/>
      </c>
      <c r="M34" s="14" t="n">
        <v>0.5</v>
      </c>
      <c r="N34" s="13">
        <f>ROUND(L34*(1-M34),0)</f>
        <v/>
      </c>
      <c r="O34" s="13">
        <f>L34-N34</f>
        <v/>
      </c>
      <c r="P34" s="13">
        <f>IF(H34&gt;0,ROUND(H34*(1-IF(E34="Profit",DIST_FURN,DIST_TOOL))*FX_PEG*LANDED_MULT,0),"")</f>
        <v/>
      </c>
      <c r="Q34" s="8" t="inlineStr">
        <is>
          <t>https://www.ikonicworld.com/products/rome-spa-bed-black</t>
        </is>
      </c>
      <c r="R34" s="8" t="inlineStr">
        <is>
          <t>Steady - every new salon fit-out</t>
        </is>
      </c>
      <c r="S34" s="8" t="inlineStr">
        <is>
          <t>None on Daraz - open field</t>
        </is>
      </c>
      <c r="T34" s="15">
        <f>IF(E34="Profit",1,IF(O34&gt;2500,2,3))</f>
        <v/>
      </c>
      <c r="U34" s="8" t="inlineStr">
        <is>
          <t>Payback maths on camera: chair cost vs monthly chair revenue</t>
        </is>
      </c>
      <c r="V34" s="8" t="inlineStr">
        <is>
          <t>No Daraz Nepal listing found. Price set from landed cost + target margin. You set the anchor here.</t>
        </is>
      </c>
      <c r="W34" s="16">
        <f>IFERROR(ROUND(MIN(10,O34/1500)*IF(E34="Profit",1.4,1),2),"")</f>
        <v/>
      </c>
    </row>
    <row r="35" ht="30" customHeight="1">
      <c r="A35" s="10" t="inlineStr">
        <is>
          <t>ETP-031</t>
        </is>
      </c>
      <c r="B35" s="8" t="inlineStr">
        <is>
          <t>Ikonic Cutting Chair Halley</t>
        </is>
      </c>
      <c r="C35" s="10" t="inlineStr">
        <is>
          <t>Ikonic</t>
        </is>
      </c>
      <c r="D35" s="10" t="inlineStr">
        <is>
          <t>Salon Furniture &amp; Equipment</t>
        </is>
      </c>
      <c r="E35" s="10" t="inlineStr">
        <is>
          <t>Profit</t>
        </is>
      </c>
      <c r="F35" s="10" t="inlineStr">
        <is>
          <t>B2B</t>
        </is>
      </c>
      <c r="G35" s="8" t="inlineStr">
        <is>
          <t>Salon / parlour owner fitting or upgrading a floor</t>
        </is>
      </c>
      <c r="H35" s="11" t="n">
        <v>27600</v>
      </c>
      <c r="I35" s="11" t="n">
        <v>34500</v>
      </c>
      <c r="J35" s="11" t="n"/>
      <c r="K35" s="12" t="inlineStr">
        <is>
          <t>NO-NEPAL-LISTING</t>
        </is>
      </c>
      <c r="L35" s="13">
        <f>IF(J35&gt;0,J35,ROUND(P35/(1-M35),-1))</f>
        <v/>
      </c>
      <c r="M35" s="14" t="n">
        <v>0.5</v>
      </c>
      <c r="N35" s="13">
        <f>ROUND(L35*(1-M35),0)</f>
        <v/>
      </c>
      <c r="O35" s="13">
        <f>L35-N35</f>
        <v/>
      </c>
      <c r="P35" s="13">
        <f>IF(H35&gt;0,ROUND(H35*(1-IF(E35="Profit",DIST_FURN,DIST_TOOL))*FX_PEG*LANDED_MULT,0),"")</f>
        <v/>
      </c>
      <c r="Q35" s="8" t="inlineStr">
        <is>
          <t>https://www.ikonicworld.com/products/ikonic-ik-217-cutting-chair-black</t>
        </is>
      </c>
      <c r="R35" s="8" t="inlineStr">
        <is>
          <t>Steady - every new salon fit-out</t>
        </is>
      </c>
      <c r="S35" s="8" t="inlineStr">
        <is>
          <t>None on Daraz - open field</t>
        </is>
      </c>
      <c r="T35" s="15">
        <f>IF(E35="Profit",1,IF(O35&gt;2500,2,3))</f>
        <v/>
      </c>
      <c r="U35" s="8" t="inlineStr">
        <is>
          <t>Payback maths on camera: chair cost vs monthly chair revenue</t>
        </is>
      </c>
      <c r="V35" s="8" t="inlineStr">
        <is>
          <t>No Daraz Nepal listing found. Price set from landed cost + target margin. You set the anchor here.</t>
        </is>
      </c>
      <c r="W35" s="16">
        <f>IFERROR(ROUND(MIN(10,O35/1500)*IF(E35="Profit",1.4,1),2),"")</f>
        <v/>
      </c>
    </row>
    <row r="36" ht="30" customHeight="1">
      <c r="A36" s="10" t="inlineStr">
        <is>
          <t>ETP-032</t>
        </is>
      </c>
      <c r="B36" s="8" t="inlineStr">
        <is>
          <t>Ikonic Cutting Chair Lyra</t>
        </is>
      </c>
      <c r="C36" s="10" t="inlineStr">
        <is>
          <t>Ikonic</t>
        </is>
      </c>
      <c r="D36" s="10" t="inlineStr">
        <is>
          <t>Salon Furniture &amp; Equipment</t>
        </is>
      </c>
      <c r="E36" s="10" t="inlineStr">
        <is>
          <t>Profit</t>
        </is>
      </c>
      <c r="F36" s="10" t="inlineStr">
        <is>
          <t>B2B</t>
        </is>
      </c>
      <c r="G36" s="8" t="inlineStr">
        <is>
          <t>Salon / parlour owner fitting or upgrading a floor</t>
        </is>
      </c>
      <c r="H36" s="11" t="n">
        <v>26800</v>
      </c>
      <c r="I36" s="11" t="n">
        <v>33500</v>
      </c>
      <c r="J36" s="11" t="n"/>
      <c r="K36" s="12" t="inlineStr">
        <is>
          <t>NO-NEPAL-LISTING</t>
        </is>
      </c>
      <c r="L36" s="13">
        <f>IF(J36&gt;0,J36,ROUND(P36/(1-M36),-1))</f>
        <v/>
      </c>
      <c r="M36" s="14" t="n">
        <v>0.5</v>
      </c>
      <c r="N36" s="13">
        <f>ROUND(L36*(1-M36),0)</f>
        <v/>
      </c>
      <c r="O36" s="13">
        <f>L36-N36</f>
        <v/>
      </c>
      <c r="P36" s="13">
        <f>IF(H36&gt;0,ROUND(H36*(1-IF(E36="Profit",DIST_FURN,DIST_TOOL))*FX_PEG*LANDED_MULT,0),"")</f>
        <v/>
      </c>
      <c r="Q36" s="8" t="inlineStr">
        <is>
          <t>https://www.ikonicworld.com/products/ik-332-cutting-chair-black</t>
        </is>
      </c>
      <c r="R36" s="8" t="inlineStr">
        <is>
          <t>Steady - every new salon fit-out</t>
        </is>
      </c>
      <c r="S36" s="8" t="inlineStr">
        <is>
          <t>None on Daraz - open field</t>
        </is>
      </c>
      <c r="T36" s="15">
        <f>IF(E36="Profit",1,IF(O36&gt;2500,2,3))</f>
        <v/>
      </c>
      <c r="U36" s="8" t="inlineStr">
        <is>
          <t>Payback maths on camera: chair cost vs monthly chair revenue</t>
        </is>
      </c>
      <c r="V36" s="8" t="inlineStr">
        <is>
          <t>No Daraz Nepal listing found. Price set from landed cost + target margin. You set the anchor here.</t>
        </is>
      </c>
      <c r="W36" s="16">
        <f>IFERROR(ROUND(MIN(10,O36/1500)*IF(E36="Profit",1.4,1),2),"")</f>
        <v/>
      </c>
    </row>
    <row r="37" ht="30" customHeight="1">
      <c r="A37" s="10" t="inlineStr">
        <is>
          <t>ETP-033</t>
        </is>
      </c>
      <c r="B37" s="8" t="inlineStr">
        <is>
          <t>7-in-1 Hydrafacial Machine - professional, fully automatic</t>
        </is>
      </c>
      <c r="C37" s="10" t="inlineStr">
        <is>
          <t>Ikonic</t>
        </is>
      </c>
      <c r="D37" s="10" t="inlineStr">
        <is>
          <t>Salon Furniture &amp; Equipment</t>
        </is>
      </c>
      <c r="E37" s="10" t="inlineStr">
        <is>
          <t>Profit</t>
        </is>
      </c>
      <c r="F37" s="10" t="inlineStr">
        <is>
          <t>B2B</t>
        </is>
      </c>
      <c r="G37" s="8" t="inlineStr">
        <is>
          <t>Salon / parlour owner fitting or upgrading a floor</t>
        </is>
      </c>
      <c r="H37" s="11" t="n">
        <v>26000</v>
      </c>
      <c r="I37" s="11" t="n"/>
      <c r="J37" s="11" t="n"/>
      <c r="K37" s="12" t="inlineStr">
        <is>
          <t>INDIA-TRADE-PRICE</t>
        </is>
      </c>
      <c r="L37" s="13">
        <f>IF(J37&gt;0,J37,ROUND(P37/(1-M37),-1))</f>
        <v/>
      </c>
      <c r="M37" s="14" t="n">
        <v>0.5</v>
      </c>
      <c r="N37" s="13">
        <f>ROUND(L37*(1-M37),0)</f>
        <v/>
      </c>
      <c r="O37" s="13">
        <f>L37-N37</f>
        <v/>
      </c>
      <c r="P37" s="13">
        <f>IF(H37&gt;0,ROUND(H37*(1-IF(E37="Profit",DIST_FURN,DIST_TOOL))*FX_PEG*LANDED_MULT,0),"")</f>
        <v/>
      </c>
      <c r="Q37" s="8" t="inlineStr">
        <is>
          <t>https://www.indiamart.com/proddetail/hydrafacial-machine-2850708807762.html</t>
        </is>
      </c>
      <c r="R37" s="8" t="inlineStr">
        <is>
          <t>Steady - every new salon fit-out</t>
        </is>
      </c>
      <c r="S37" s="8" t="inlineStr">
        <is>
          <t>None on Daraz - open field</t>
        </is>
      </c>
      <c r="T37" s="15">
        <f>IF(E37="Profit",1,IF(O37&gt;2500,2,3))</f>
        <v/>
      </c>
      <c r="U37" s="8" t="inlineStr">
        <is>
          <t>Payback maths on camera: chair cost vs monthly chair revenue</t>
        </is>
      </c>
      <c r="V37" s="8" t="inlineStr">
        <is>
          <t>India trade listings INR 22,000-30,000. Sell on payback period, never on price. Scenario D in Unit Economics computes it once you enter your real FOB.</t>
        </is>
      </c>
      <c r="W37" s="16">
        <f>IFERROR(ROUND(MIN(10,O37/1500)*IF(E37="Profit",1.4,1),2),"")</f>
        <v/>
      </c>
    </row>
    <row r="38" ht="30" customHeight="1">
      <c r="A38" s="10" t="inlineStr">
        <is>
          <t>ETP-034</t>
        </is>
      </c>
      <c r="B38" s="8" t="inlineStr">
        <is>
          <t>7-in-1 Hydrafacial Machine - semi-automatic, double motor</t>
        </is>
      </c>
      <c r="C38" s="10" t="inlineStr">
        <is>
          <t>Ikonic</t>
        </is>
      </c>
      <c r="D38" s="10" t="inlineStr">
        <is>
          <t>Salon Furniture &amp; Equipment</t>
        </is>
      </c>
      <c r="E38" s="10" t="inlineStr">
        <is>
          <t>Profit</t>
        </is>
      </c>
      <c r="F38" s="10" t="inlineStr">
        <is>
          <t>B2B</t>
        </is>
      </c>
      <c r="G38" s="8" t="inlineStr">
        <is>
          <t>Salon / parlour owner fitting or upgrading a floor</t>
        </is>
      </c>
      <c r="H38" s="11" t="n">
        <v>15000</v>
      </c>
      <c r="I38" s="11" t="n"/>
      <c r="J38" s="11" t="n"/>
      <c r="K38" s="12" t="inlineStr">
        <is>
          <t>INDIA-TRADE-PRICE</t>
        </is>
      </c>
      <c r="L38" s="13">
        <f>IF(J38&gt;0,J38,ROUND(P38/(1-M38),-1))</f>
        <v/>
      </c>
      <c r="M38" s="14" t="n">
        <v>0.5</v>
      </c>
      <c r="N38" s="13">
        <f>ROUND(L38*(1-M38),0)</f>
        <v/>
      </c>
      <c r="O38" s="13">
        <f>L38-N38</f>
        <v/>
      </c>
      <c r="P38" s="13">
        <f>IF(H38&gt;0,ROUND(H38*(1-IF(E38="Profit",DIST_FURN,DIST_TOOL))*FX_PEG*LANDED_MULT,0),"")</f>
        <v/>
      </c>
      <c r="Q38" s="8" t="inlineStr">
        <is>
          <t>https://www.indiamart.com/proddetail/7-in-1-hydrafacial-machine-27462109133.html</t>
        </is>
      </c>
      <c r="R38" s="8" t="inlineStr">
        <is>
          <t>Steady - every new salon fit-out</t>
        </is>
      </c>
      <c r="S38" s="8" t="inlineStr">
        <is>
          <t>None on Daraz - open field</t>
        </is>
      </c>
      <c r="T38" s="15">
        <f>IF(E38="Profit",1,IF(O38&gt;2500,2,3))</f>
        <v/>
      </c>
      <c r="U38" s="8" t="inlineStr">
        <is>
          <t>Payback maths on camera: chair cost vs monthly chair revenue</t>
        </is>
      </c>
      <c r="V38" s="8" t="inlineStr">
        <is>
          <t>India trade listings INR 12,499-18,000. The volume-selling grade for working parlours.</t>
        </is>
      </c>
      <c r="W38" s="16">
        <f>IFERROR(ROUND(MIN(10,O38/1500)*IF(E38="Profit",1.4,1),2),"")</f>
        <v/>
      </c>
    </row>
    <row r="39" ht="30" customHeight="1">
      <c r="A39" s="10" t="inlineStr">
        <is>
          <t>ETP-035</t>
        </is>
      </c>
      <c r="B39" s="8" t="inlineStr">
        <is>
          <t>RYO Facial Steamer</t>
        </is>
      </c>
      <c r="C39" s="10" t="inlineStr">
        <is>
          <t>Ikonic</t>
        </is>
      </c>
      <c r="D39" s="10" t="inlineStr">
        <is>
          <t>Salon Furniture &amp; Equipment</t>
        </is>
      </c>
      <c r="E39" s="10" t="inlineStr">
        <is>
          <t>Profit</t>
        </is>
      </c>
      <c r="F39" s="10" t="inlineStr">
        <is>
          <t>B2B</t>
        </is>
      </c>
      <c r="G39" s="8" t="inlineStr">
        <is>
          <t>Salon / parlour owner fitting or upgrading a floor</t>
        </is>
      </c>
      <c r="H39" s="11" t="n">
        <v>14800</v>
      </c>
      <c r="I39" s="11" t="n">
        <v>18500</v>
      </c>
      <c r="J39" s="11" t="n"/>
      <c r="K39" s="12" t="inlineStr">
        <is>
          <t>NO-NEPAL-LISTING</t>
        </is>
      </c>
      <c r="L39" s="13">
        <f>IF(J39&gt;0,J39,ROUND(P39/(1-M39),-1))</f>
        <v/>
      </c>
      <c r="M39" s="14" t="n">
        <v>0.5</v>
      </c>
      <c r="N39" s="13">
        <f>ROUND(L39*(1-M39),0)</f>
        <v/>
      </c>
      <c r="O39" s="13">
        <f>L39-N39</f>
        <v/>
      </c>
      <c r="P39" s="13">
        <f>IF(H39&gt;0,ROUND(H39*(1-IF(E39="Profit",DIST_FURN,DIST_TOOL))*FX_PEG*LANDED_MULT,0),"")</f>
        <v/>
      </c>
      <c r="Q39" s="8" t="inlineStr">
        <is>
          <t>https://www.ikonicworld.com/products/ryo-facial-steamer</t>
        </is>
      </c>
      <c r="R39" s="8" t="inlineStr">
        <is>
          <t>Steady - every new salon fit-out</t>
        </is>
      </c>
      <c r="S39" s="8" t="inlineStr">
        <is>
          <t>None on Daraz - open field</t>
        </is>
      </c>
      <c r="T39" s="15">
        <f>IF(E39="Profit",1,IF(O39&gt;2500,2,3))</f>
        <v/>
      </c>
      <c r="U39" s="8" t="inlineStr">
        <is>
          <t>Payback maths on camera: chair cost vs monthly chair revenue</t>
        </is>
      </c>
      <c r="V39" s="8" t="inlineStr">
        <is>
          <t>No Daraz Nepal listing found. Price set from landed cost + target margin. You set the anchor here.</t>
        </is>
      </c>
      <c r="W39" s="16">
        <f>IFERROR(ROUND(MIN(10,O39/1500)*IF(E39="Profit",1.4,1),2),"")</f>
        <v/>
      </c>
    </row>
    <row r="40" ht="30" customHeight="1">
      <c r="A40" s="10" t="inlineStr">
        <is>
          <t>ETP-036</t>
        </is>
      </c>
      <c r="B40" s="8" t="inlineStr">
        <is>
          <t>Ikonic Baby Chair Rory</t>
        </is>
      </c>
      <c r="C40" s="10" t="inlineStr">
        <is>
          <t>Ikonic</t>
        </is>
      </c>
      <c r="D40" s="10" t="inlineStr">
        <is>
          <t>Salon Furniture &amp; Equipment</t>
        </is>
      </c>
      <c r="E40" s="10" t="inlineStr">
        <is>
          <t>Profit</t>
        </is>
      </c>
      <c r="F40" s="10" t="inlineStr">
        <is>
          <t>B2B</t>
        </is>
      </c>
      <c r="G40" s="8" t="inlineStr">
        <is>
          <t>Salon / parlour owner fitting or upgrading a floor</t>
        </is>
      </c>
      <c r="H40" s="11" t="n">
        <v>14400</v>
      </c>
      <c r="I40" s="11" t="n">
        <v>18000</v>
      </c>
      <c r="J40" s="11" t="n"/>
      <c r="K40" s="12" t="inlineStr">
        <is>
          <t>NO-NEPAL-LISTING</t>
        </is>
      </c>
      <c r="L40" s="13">
        <f>IF(J40&gt;0,J40,ROUND(P40/(1-M40),-1))</f>
        <v/>
      </c>
      <c r="M40" s="14" t="n">
        <v>0.5</v>
      </c>
      <c r="N40" s="13">
        <f>ROUND(L40*(1-M40),0)</f>
        <v/>
      </c>
      <c r="O40" s="13">
        <f>L40-N40</f>
        <v/>
      </c>
      <c r="P40" s="13">
        <f>IF(H40&gt;0,ROUND(H40*(1-IF(E40="Profit",DIST_FURN,DIST_TOOL))*FX_PEG*LANDED_MULT,0),"")</f>
        <v/>
      </c>
      <c r="Q40" s="8" t="inlineStr">
        <is>
          <t>https://www.ikonicworld.com/products/doremon-baby-chair-gat-blue</t>
        </is>
      </c>
      <c r="R40" s="8" t="inlineStr">
        <is>
          <t>Steady - every new salon fit-out</t>
        </is>
      </c>
      <c r="S40" s="8" t="inlineStr">
        <is>
          <t>None on Daraz - open field</t>
        </is>
      </c>
      <c r="T40" s="15">
        <f>IF(E40="Profit",1,IF(O40&gt;2500,2,3))</f>
        <v/>
      </c>
      <c r="U40" s="8" t="inlineStr">
        <is>
          <t>Payback maths on camera: chair cost vs monthly chair revenue</t>
        </is>
      </c>
      <c r="V40" s="8" t="inlineStr">
        <is>
          <t>No Daraz Nepal listing found. Price set from landed cost + target margin. You set the anchor here.</t>
        </is>
      </c>
      <c r="W40" s="16">
        <f>IFERROR(ROUND(MIN(10,O40/1500)*IF(E40="Profit",1.4,1),2),"")</f>
        <v/>
      </c>
    </row>
    <row r="41" ht="30" customHeight="1">
      <c r="A41" s="10" t="inlineStr">
        <is>
          <t>ETP-037</t>
        </is>
      </c>
      <c r="B41" s="8" t="inlineStr">
        <is>
          <t>Ikonic Face Steamer Rui</t>
        </is>
      </c>
      <c r="C41" s="10" t="inlineStr">
        <is>
          <t>Ikonic</t>
        </is>
      </c>
      <c r="D41" s="10" t="inlineStr">
        <is>
          <t>Salon Furniture &amp; Equipment</t>
        </is>
      </c>
      <c r="E41" s="10" t="inlineStr">
        <is>
          <t>Profit</t>
        </is>
      </c>
      <c r="F41" s="10" t="inlineStr">
        <is>
          <t>B2B</t>
        </is>
      </c>
      <c r="G41" s="8" t="inlineStr">
        <is>
          <t>Salon / parlour owner fitting or upgrading a floor</t>
        </is>
      </c>
      <c r="H41" s="11" t="n">
        <v>12000</v>
      </c>
      <c r="I41" s="11" t="n">
        <v>15000</v>
      </c>
      <c r="J41" s="11" t="n"/>
      <c r="K41" s="12" t="inlineStr">
        <is>
          <t>NO-NEPAL-LISTING</t>
        </is>
      </c>
      <c r="L41" s="13">
        <f>IF(J41&gt;0,J41,ROUND(P41/(1-M41),-1))</f>
        <v/>
      </c>
      <c r="M41" s="14" t="n">
        <v>0.5</v>
      </c>
      <c r="N41" s="13">
        <f>ROUND(L41*(1-M41),0)</f>
        <v/>
      </c>
      <c r="O41" s="13">
        <f>L41-N41</f>
        <v/>
      </c>
      <c r="P41" s="13">
        <f>IF(H41&gt;0,ROUND(H41*(1-IF(E41="Profit",DIST_FURN,DIST_TOOL))*FX_PEG*LANDED_MULT,0),"")</f>
        <v/>
      </c>
      <c r="Q41" s="8" t="inlineStr">
        <is>
          <t>https://www.ikonicworld.com/products/rui-hot-facial-steamer</t>
        </is>
      </c>
      <c r="R41" s="8" t="inlineStr">
        <is>
          <t>Steady - every new salon fit-out</t>
        </is>
      </c>
      <c r="S41" s="8" t="inlineStr">
        <is>
          <t>None on Daraz - open field</t>
        </is>
      </c>
      <c r="T41" s="15">
        <f>IF(E41="Profit",1,IF(O41&gt;2500,2,3))</f>
        <v/>
      </c>
      <c r="U41" s="8" t="inlineStr">
        <is>
          <t>Payback maths on camera: chair cost vs monthly chair revenue</t>
        </is>
      </c>
      <c r="V41" s="8" t="inlineStr">
        <is>
          <t>No Daraz Nepal listing found. Price set from landed cost + target margin. You set the anchor here.</t>
        </is>
      </c>
      <c r="W41" s="16">
        <f>IFERROR(ROUND(MIN(10,O41/1500)*IF(E41="Profit",1.4,1),2),"")</f>
        <v/>
      </c>
    </row>
    <row r="42" ht="30" customHeight="1">
      <c r="A42" s="10" t="inlineStr">
        <is>
          <t>ETP-038</t>
        </is>
      </c>
      <c r="B42" s="8" t="inlineStr">
        <is>
          <t>Ikonic Hair Trolley Piper - Black</t>
        </is>
      </c>
      <c r="C42" s="10" t="inlineStr">
        <is>
          <t>Ikonic</t>
        </is>
      </c>
      <c r="D42" s="10" t="inlineStr">
        <is>
          <t>Salon Furniture &amp; Equipment</t>
        </is>
      </c>
      <c r="E42" s="10" t="inlineStr">
        <is>
          <t>Profit</t>
        </is>
      </c>
      <c r="F42" s="10" t="inlineStr">
        <is>
          <t>B2B</t>
        </is>
      </c>
      <c r="G42" s="8" t="inlineStr">
        <is>
          <t>Salon / parlour owner fitting or upgrading a floor</t>
        </is>
      </c>
      <c r="H42" s="11" t="n">
        <v>12000</v>
      </c>
      <c r="I42" s="11" t="n">
        <v>15000</v>
      </c>
      <c r="J42" s="11" t="n"/>
      <c r="K42" s="12" t="inlineStr">
        <is>
          <t>NO-NEPAL-LISTING</t>
        </is>
      </c>
      <c r="L42" s="13">
        <f>IF(J42&gt;0,J42,ROUND(P42/(1-M42),-1))</f>
        <v/>
      </c>
      <c r="M42" s="14" t="n">
        <v>0.5</v>
      </c>
      <c r="N42" s="13">
        <f>ROUND(L42*(1-M42),0)</f>
        <v/>
      </c>
      <c r="O42" s="13">
        <f>L42-N42</f>
        <v/>
      </c>
      <c r="P42" s="13">
        <f>IF(H42&gt;0,ROUND(H42*(1-IF(E42="Profit",DIST_FURN,DIST_TOOL))*FX_PEG*LANDED_MULT,0),"")</f>
        <v/>
      </c>
      <c r="Q42" s="8" t="inlineStr">
        <is>
          <t>https://www.ikonicworld.com/products/ikonic-autumn-hair-trolley-black-ik-3013b</t>
        </is>
      </c>
      <c r="R42" s="8" t="inlineStr">
        <is>
          <t>Steady - every new salon fit-out</t>
        </is>
      </c>
      <c r="S42" s="8" t="inlineStr">
        <is>
          <t>None on Daraz - open field</t>
        </is>
      </c>
      <c r="T42" s="15">
        <f>IF(E42="Profit",1,IF(O42&gt;2500,2,3))</f>
        <v/>
      </c>
      <c r="U42" s="8" t="inlineStr">
        <is>
          <t>Payback maths on camera: chair cost vs monthly chair revenue</t>
        </is>
      </c>
      <c r="V42" s="8" t="inlineStr">
        <is>
          <t>No Daraz Nepal listing found. Price set from landed cost + target margin. You set the anchor here.</t>
        </is>
      </c>
      <c r="W42" s="16">
        <f>IFERROR(ROUND(MIN(10,O42/1500)*IF(E42="Profit",1.4,1),2),"")</f>
        <v/>
      </c>
    </row>
    <row r="43" ht="30" customHeight="1">
      <c r="A43" s="10" t="inlineStr">
        <is>
          <t>ETP-039</t>
        </is>
      </c>
      <c r="B43" s="8" t="inlineStr">
        <is>
          <t>Ikonic Facial Trolley Cyril - White</t>
        </is>
      </c>
      <c r="C43" s="10" t="inlineStr">
        <is>
          <t>Ikonic</t>
        </is>
      </c>
      <c r="D43" s="10" t="inlineStr">
        <is>
          <t>Salon Furniture &amp; Equipment</t>
        </is>
      </c>
      <c r="E43" s="10" t="inlineStr">
        <is>
          <t>Profit</t>
        </is>
      </c>
      <c r="F43" s="10" t="inlineStr">
        <is>
          <t>B2B</t>
        </is>
      </c>
      <c r="G43" s="8" t="inlineStr">
        <is>
          <t>Salon / parlour owner fitting or upgrading a floor</t>
        </is>
      </c>
      <c r="H43" s="11" t="n">
        <v>11200</v>
      </c>
      <c r="I43" s="11" t="n">
        <v>14000</v>
      </c>
      <c r="J43" s="11" t="n"/>
      <c r="K43" s="12" t="inlineStr">
        <is>
          <t>NO-NEPAL-LISTING</t>
        </is>
      </c>
      <c r="L43" s="13">
        <f>IF(J43&gt;0,J43,ROUND(P43/(1-M43),-1))</f>
        <v/>
      </c>
      <c r="M43" s="14" t="n">
        <v>0.5</v>
      </c>
      <c r="N43" s="13">
        <f>ROUND(L43*(1-M43),0)</f>
        <v/>
      </c>
      <c r="O43" s="13">
        <f>L43-N43</f>
        <v/>
      </c>
      <c r="P43" s="13">
        <f>IF(H43&gt;0,ROUND(H43*(1-IF(E43="Profit",DIST_FURN,DIST_TOOL))*FX_PEG*LANDED_MULT,0),"")</f>
        <v/>
      </c>
      <c r="Q43" s="8" t="inlineStr">
        <is>
          <t>https://www.ikonicworld.com/products/ik-6701-facial-glass-trolley</t>
        </is>
      </c>
      <c r="R43" s="8" t="inlineStr">
        <is>
          <t>Steady - every new salon fit-out</t>
        </is>
      </c>
      <c r="S43" s="8" t="inlineStr">
        <is>
          <t>None on Daraz - open field</t>
        </is>
      </c>
      <c r="T43" s="15">
        <f>IF(E43="Profit",1,IF(O43&gt;2500,2,3))</f>
        <v/>
      </c>
      <c r="U43" s="8" t="inlineStr">
        <is>
          <t>Payback maths on camera: chair cost vs monthly chair revenue</t>
        </is>
      </c>
      <c r="V43" s="8" t="inlineStr">
        <is>
          <t>No Daraz Nepal listing found. Price set from landed cost + target margin. You set the anchor here.</t>
        </is>
      </c>
      <c r="W43" s="16">
        <f>IFERROR(ROUND(MIN(10,O43/1500)*IF(E43="Profit",1.4,1),2),"")</f>
        <v/>
      </c>
    </row>
    <row r="44" ht="30" customHeight="1">
      <c r="A44" s="10" t="inlineStr">
        <is>
          <t>ETP-040</t>
        </is>
      </c>
      <c r="B44" s="8" t="inlineStr">
        <is>
          <t>Ikonic Towel Warmer Akira</t>
        </is>
      </c>
      <c r="C44" s="10" t="inlineStr">
        <is>
          <t>Ikonic</t>
        </is>
      </c>
      <c r="D44" s="10" t="inlineStr">
        <is>
          <t>Salon Furniture &amp; Equipment</t>
        </is>
      </c>
      <c r="E44" s="10" t="inlineStr">
        <is>
          <t>Profit</t>
        </is>
      </c>
      <c r="F44" s="10" t="inlineStr">
        <is>
          <t>B2B</t>
        </is>
      </c>
      <c r="G44" s="8" t="inlineStr">
        <is>
          <t>Salon / parlour owner fitting or upgrading a floor</t>
        </is>
      </c>
      <c r="H44" s="11" t="n">
        <v>11200</v>
      </c>
      <c r="I44" s="11" t="n">
        <v>14000</v>
      </c>
      <c r="J44" s="11" t="n"/>
      <c r="K44" s="12" t="inlineStr">
        <is>
          <t>NO-NEPAL-LISTING</t>
        </is>
      </c>
      <c r="L44" s="13">
        <f>IF(J44&gt;0,J44,ROUND(P44/(1-M44),-1))</f>
        <v/>
      </c>
      <c r="M44" s="14" t="n">
        <v>0.5</v>
      </c>
      <c r="N44" s="13">
        <f>ROUND(L44*(1-M44),0)</f>
        <v/>
      </c>
      <c r="O44" s="13">
        <f>L44-N44</f>
        <v/>
      </c>
      <c r="P44" s="13">
        <f>IF(H44&gt;0,ROUND(H44*(1-IF(E44="Profit",DIST_FURN,DIST_TOOL))*FX_PEG*LANDED_MULT,0),"")</f>
        <v/>
      </c>
      <c r="Q44" s="8" t="inlineStr">
        <is>
          <t>https://www.ikonicworld.com/products/akira-towel-warmer</t>
        </is>
      </c>
      <c r="R44" s="8" t="inlineStr">
        <is>
          <t>Steady - every new salon fit-out</t>
        </is>
      </c>
      <c r="S44" s="8" t="inlineStr">
        <is>
          <t>None on Daraz - open field</t>
        </is>
      </c>
      <c r="T44" s="15">
        <f>IF(E44="Profit",1,IF(O44&gt;2500,2,3))</f>
        <v/>
      </c>
      <c r="U44" s="8" t="inlineStr">
        <is>
          <t>Payback maths on camera: chair cost vs monthly chair revenue</t>
        </is>
      </c>
      <c r="V44" s="8" t="inlineStr">
        <is>
          <t>No Daraz Nepal listing found. Price set from landed cost + target margin. You set the anchor here.</t>
        </is>
      </c>
      <c r="W44" s="16">
        <f>IFERROR(ROUND(MIN(10,O44/1500)*IF(E44="Profit",1.4,1),2),"")</f>
        <v/>
      </c>
    </row>
    <row r="45" ht="30" customHeight="1">
      <c r="A45" s="10" t="inlineStr">
        <is>
          <t>ETP-041</t>
        </is>
      </c>
      <c r="B45" s="8" t="inlineStr">
        <is>
          <t>REI FACIAL STEAMER WHITE</t>
        </is>
      </c>
      <c r="C45" s="10" t="inlineStr">
        <is>
          <t>Ikonic</t>
        </is>
      </c>
      <c r="D45" s="10" t="inlineStr">
        <is>
          <t>Salon Furniture &amp; Equipment</t>
        </is>
      </c>
      <c r="E45" s="10" t="inlineStr">
        <is>
          <t>Profit</t>
        </is>
      </c>
      <c r="F45" s="10" t="inlineStr">
        <is>
          <t>B2B</t>
        </is>
      </c>
      <c r="G45" s="8" t="inlineStr">
        <is>
          <t>Salon / parlour owner fitting or upgrading a floor</t>
        </is>
      </c>
      <c r="H45" s="11" t="n">
        <v>10800</v>
      </c>
      <c r="I45" s="11" t="n">
        <v>13500</v>
      </c>
      <c r="J45" s="11" t="n"/>
      <c r="K45" s="12" t="inlineStr">
        <is>
          <t>NO-NEPAL-LISTING</t>
        </is>
      </c>
      <c r="L45" s="13">
        <f>IF(J45&gt;0,J45,ROUND(P45/(1-M45),-1))</f>
        <v/>
      </c>
      <c r="M45" s="14" t="n">
        <v>0.5</v>
      </c>
      <c r="N45" s="13">
        <f>ROUND(L45*(1-M45),0)</f>
        <v/>
      </c>
      <c r="O45" s="13">
        <f>L45-N45</f>
        <v/>
      </c>
      <c r="P45" s="13">
        <f>IF(H45&gt;0,ROUND(H45*(1-IF(E45="Profit",DIST_FURN,DIST_TOOL))*FX_PEG*LANDED_MULT,0),"")</f>
        <v/>
      </c>
      <c r="Q45" s="8" t="inlineStr">
        <is>
          <t>https://www.ikonicworld.com/products/rei-facial-steamer-white</t>
        </is>
      </c>
      <c r="R45" s="8" t="inlineStr">
        <is>
          <t>Steady - every new salon fit-out</t>
        </is>
      </c>
      <c r="S45" s="8" t="inlineStr">
        <is>
          <t>None on Daraz - open field</t>
        </is>
      </c>
      <c r="T45" s="15">
        <f>IF(E45="Profit",1,IF(O45&gt;2500,2,3))</f>
        <v/>
      </c>
      <c r="U45" s="8" t="inlineStr">
        <is>
          <t>Payback maths on camera: chair cost vs monthly chair revenue</t>
        </is>
      </c>
      <c r="V45" s="8" t="inlineStr">
        <is>
          <t>No Daraz Nepal listing found. Price set from landed cost + target margin. You set the anchor here.</t>
        </is>
      </c>
      <c r="W45" s="16">
        <f>IFERROR(ROUND(MIN(10,O45/1500)*IF(E45="Profit",1.4,1),2),"")</f>
        <v/>
      </c>
    </row>
    <row r="46" ht="30" customHeight="1">
      <c r="A46" s="10" t="inlineStr">
        <is>
          <t>ETP-042</t>
        </is>
      </c>
      <c r="B46" s="8" t="inlineStr">
        <is>
          <t>Ikonic Hair Trolley Sassy</t>
        </is>
      </c>
      <c r="C46" s="10" t="inlineStr">
        <is>
          <t>Ikonic</t>
        </is>
      </c>
      <c r="D46" s="10" t="inlineStr">
        <is>
          <t>Salon Furniture &amp; Equipment</t>
        </is>
      </c>
      <c r="E46" s="10" t="inlineStr">
        <is>
          <t>Profit</t>
        </is>
      </c>
      <c r="F46" s="10" t="inlineStr">
        <is>
          <t>B2B</t>
        </is>
      </c>
      <c r="G46" s="8" t="inlineStr">
        <is>
          <t>Salon / parlour owner fitting or upgrading a floor</t>
        </is>
      </c>
      <c r="H46" s="11" t="n">
        <v>10400</v>
      </c>
      <c r="I46" s="11" t="n">
        <v>13000</v>
      </c>
      <c r="J46" s="11" t="n"/>
      <c r="K46" s="12" t="inlineStr">
        <is>
          <t>NO-NEPAL-LISTING</t>
        </is>
      </c>
      <c r="L46" s="13">
        <f>IF(J46&gt;0,J46,ROUND(P46/(1-M46),-1))</f>
        <v/>
      </c>
      <c r="M46" s="14" t="n">
        <v>0.5</v>
      </c>
      <c r="N46" s="13">
        <f>ROUND(L46*(1-M46),0)</f>
        <v/>
      </c>
      <c r="O46" s="13">
        <f>L46-N46</f>
        <v/>
      </c>
      <c r="P46" s="13">
        <f>IF(H46&gt;0,ROUND(H46*(1-IF(E46="Profit",DIST_FURN,DIST_TOOL))*FX_PEG*LANDED_MULT,0),"")</f>
        <v/>
      </c>
      <c r="Q46" s="8" t="inlineStr">
        <is>
          <t>https://www.ikonicworld.com/products/ik-3201b-black</t>
        </is>
      </c>
      <c r="R46" s="8" t="inlineStr">
        <is>
          <t>Steady - every new salon fit-out</t>
        </is>
      </c>
      <c r="S46" s="8" t="inlineStr">
        <is>
          <t>None on Daraz - open field</t>
        </is>
      </c>
      <c r="T46" s="15">
        <f>IF(E46="Profit",1,IF(O46&gt;2500,2,3))</f>
        <v/>
      </c>
      <c r="U46" s="8" t="inlineStr">
        <is>
          <t>Payback maths on camera: chair cost vs monthly chair revenue</t>
        </is>
      </c>
      <c r="V46" s="8" t="inlineStr">
        <is>
          <t>No Daraz Nepal listing found. Price set from landed cost + target margin. You set the anchor here.</t>
        </is>
      </c>
      <c r="W46" s="16">
        <f>IFERROR(ROUND(MIN(10,O46/1500)*IF(E46="Profit",1.4,1),2),"")</f>
        <v/>
      </c>
    </row>
    <row r="47" ht="30" customHeight="1">
      <c r="A47" s="10" t="inlineStr">
        <is>
          <t>ETP-043</t>
        </is>
      </c>
      <c r="B47" s="8" t="inlineStr">
        <is>
          <t>Ikonic Hair Trolley Titan - Black</t>
        </is>
      </c>
      <c r="C47" s="10" t="inlineStr">
        <is>
          <t>Ikonic</t>
        </is>
      </c>
      <c r="D47" s="10" t="inlineStr">
        <is>
          <t>Salon Furniture &amp; Equipment</t>
        </is>
      </c>
      <c r="E47" s="10" t="inlineStr">
        <is>
          <t>Profit</t>
        </is>
      </c>
      <c r="F47" s="10" t="inlineStr">
        <is>
          <t>B2B</t>
        </is>
      </c>
      <c r="G47" s="8" t="inlineStr">
        <is>
          <t>Salon / parlour owner fitting or upgrading a floor</t>
        </is>
      </c>
      <c r="H47" s="11" t="n">
        <v>10400</v>
      </c>
      <c r="I47" s="11" t="n">
        <v>13000</v>
      </c>
      <c r="J47" s="11" t="n"/>
      <c r="K47" s="12" t="inlineStr">
        <is>
          <t>NO-NEPAL-LISTING</t>
        </is>
      </c>
      <c r="L47" s="13">
        <f>IF(J47&gt;0,J47,ROUND(P47/(1-M47),-1))</f>
        <v/>
      </c>
      <c r="M47" s="14" t="n">
        <v>0.5</v>
      </c>
      <c r="N47" s="13">
        <f>ROUND(L47*(1-M47),0)</f>
        <v/>
      </c>
      <c r="O47" s="13">
        <f>L47-N47</f>
        <v/>
      </c>
      <c r="P47" s="13">
        <f>IF(H47&gt;0,ROUND(H47*(1-IF(E47="Profit",DIST_FURN,DIST_TOOL))*FX_PEG*LANDED_MULT,0),"")</f>
        <v/>
      </c>
      <c r="Q47" s="8" t="inlineStr">
        <is>
          <t>https://www.ikonicworld.com/products/ikonic-professional-dlt-618-plastic-hair-trolley</t>
        </is>
      </c>
      <c r="R47" s="8" t="inlineStr">
        <is>
          <t>Steady - every new salon fit-out</t>
        </is>
      </c>
      <c r="S47" s="8" t="inlineStr">
        <is>
          <t>None on Daraz - open field</t>
        </is>
      </c>
      <c r="T47" s="15">
        <f>IF(E47="Profit",1,IF(O47&gt;2500,2,3))</f>
        <v/>
      </c>
      <c r="U47" s="8" t="inlineStr">
        <is>
          <t>Payback maths on camera: chair cost vs monthly chair revenue</t>
        </is>
      </c>
      <c r="V47" s="8" t="inlineStr">
        <is>
          <t>No Daraz Nepal listing found. Price set from landed cost + target margin. You set the anchor here.</t>
        </is>
      </c>
      <c r="W47" s="16">
        <f>IFERROR(ROUND(MIN(10,O47/1500)*IF(E47="Profit",1.4,1),2),"")</f>
        <v/>
      </c>
    </row>
    <row r="48" ht="30" customHeight="1">
      <c r="A48" s="10" t="inlineStr">
        <is>
          <t>ETP-044</t>
        </is>
      </c>
      <c r="B48" s="8" t="inlineStr">
        <is>
          <t>Ken Head Steamer</t>
        </is>
      </c>
      <c r="C48" s="10" t="inlineStr">
        <is>
          <t>Ikonic</t>
        </is>
      </c>
      <c r="D48" s="10" t="inlineStr">
        <is>
          <t>Salon Furniture &amp; Equipment</t>
        </is>
      </c>
      <c r="E48" s="10" t="inlineStr">
        <is>
          <t>Profit</t>
        </is>
      </c>
      <c r="F48" s="10" t="inlineStr">
        <is>
          <t>B2B</t>
        </is>
      </c>
      <c r="G48" s="8" t="inlineStr">
        <is>
          <t>Salon / parlour owner fitting or upgrading a floor</t>
        </is>
      </c>
      <c r="H48" s="11" t="n">
        <v>9600</v>
      </c>
      <c r="I48" s="11" t="n">
        <v>12000</v>
      </c>
      <c r="J48" s="11" t="n"/>
      <c r="K48" s="12" t="inlineStr">
        <is>
          <t>NO-NEPAL-LISTING</t>
        </is>
      </c>
      <c r="L48" s="13">
        <f>IF(J48&gt;0,J48,ROUND(P48/(1-M48),-1))</f>
        <v/>
      </c>
      <c r="M48" s="14" t="n">
        <v>0.5</v>
      </c>
      <c r="N48" s="13">
        <f>ROUND(L48*(1-M48),0)</f>
        <v/>
      </c>
      <c r="O48" s="13">
        <f>L48-N48</f>
        <v/>
      </c>
      <c r="P48" s="13">
        <f>IF(H48&gt;0,ROUND(H48*(1-IF(E48="Profit",DIST_FURN,DIST_TOOL))*FX_PEG*LANDED_MULT,0),"")</f>
        <v/>
      </c>
      <c r="Q48" s="8" t="inlineStr">
        <is>
          <t>https://www.ikonicworld.com/products/ken-head-steamer</t>
        </is>
      </c>
      <c r="R48" s="8" t="inlineStr">
        <is>
          <t>Steady - every new salon fit-out</t>
        </is>
      </c>
      <c r="S48" s="8" t="inlineStr">
        <is>
          <t>None on Daraz - open field</t>
        </is>
      </c>
      <c r="T48" s="15">
        <f>IF(E48="Profit",1,IF(O48&gt;2500,2,3))</f>
        <v/>
      </c>
      <c r="U48" s="8" t="inlineStr">
        <is>
          <t>Payback maths on camera: chair cost vs monthly chair revenue</t>
        </is>
      </c>
      <c r="V48" s="8" t="inlineStr">
        <is>
          <t>No Daraz Nepal listing found. Price set from landed cost + target margin. You set the anchor here.</t>
        </is>
      </c>
      <c r="W48" s="16">
        <f>IFERROR(ROUND(MIN(10,O48/1500)*IF(E48="Profit",1.4,1),2),"")</f>
        <v/>
      </c>
    </row>
    <row r="49" ht="30" customHeight="1">
      <c r="A49" s="10" t="inlineStr">
        <is>
          <t>ETP-045</t>
        </is>
      </c>
      <c r="B49" s="8" t="inlineStr">
        <is>
          <t>Ikonic Head Steamer Kai</t>
        </is>
      </c>
      <c r="C49" s="10" t="inlineStr">
        <is>
          <t>Ikonic</t>
        </is>
      </c>
      <c r="D49" s="10" t="inlineStr">
        <is>
          <t>Salon Furniture &amp; Equipment</t>
        </is>
      </c>
      <c r="E49" s="10" t="inlineStr">
        <is>
          <t>Profit</t>
        </is>
      </c>
      <c r="F49" s="10" t="inlineStr">
        <is>
          <t>B2B</t>
        </is>
      </c>
      <c r="G49" s="8" t="inlineStr">
        <is>
          <t>Salon / parlour owner fitting or upgrading a floor</t>
        </is>
      </c>
      <c r="H49" s="11" t="n">
        <v>9600</v>
      </c>
      <c r="I49" s="11" t="n">
        <v>12000</v>
      </c>
      <c r="J49" s="11" t="n"/>
      <c r="K49" s="12" t="inlineStr">
        <is>
          <t>NO-NEPAL-LISTING</t>
        </is>
      </c>
      <c r="L49" s="13">
        <f>IF(J49&gt;0,J49,ROUND(P49/(1-M49),-1))</f>
        <v/>
      </c>
      <c r="M49" s="14" t="n">
        <v>0.5</v>
      </c>
      <c r="N49" s="13">
        <f>ROUND(L49*(1-M49),0)</f>
        <v/>
      </c>
      <c r="O49" s="13">
        <f>L49-N49</f>
        <v/>
      </c>
      <c r="P49" s="13">
        <f>IF(H49&gt;0,ROUND(H49*(1-IF(E49="Profit",DIST_FURN,DIST_TOOL))*FX_PEG*LANDED_MULT,0),"")</f>
        <v/>
      </c>
      <c r="Q49" s="8" t="inlineStr">
        <is>
          <t>https://www.ikonicworld.com/products/ik-1002-hair-steamer</t>
        </is>
      </c>
      <c r="R49" s="8" t="inlineStr">
        <is>
          <t>Steady - every new salon fit-out</t>
        </is>
      </c>
      <c r="S49" s="8" t="inlineStr">
        <is>
          <t>None on Daraz - open field</t>
        </is>
      </c>
      <c r="T49" s="15">
        <f>IF(E49="Profit",1,IF(O49&gt;2500,2,3))</f>
        <v/>
      </c>
      <c r="U49" s="8" t="inlineStr">
        <is>
          <t>Payback maths on camera: chair cost vs monthly chair revenue</t>
        </is>
      </c>
      <c r="V49" s="8" t="inlineStr">
        <is>
          <t>No Daraz Nepal listing found. Price set from landed cost + target margin. You set the anchor here.</t>
        </is>
      </c>
      <c r="W49" s="16">
        <f>IFERROR(ROUND(MIN(10,O49/1500)*IF(E49="Profit",1.4,1),2),"")</f>
        <v/>
      </c>
    </row>
    <row r="50" ht="30" customHeight="1">
      <c r="A50" s="10" t="inlineStr">
        <is>
          <t>ETP-046</t>
        </is>
      </c>
      <c r="B50" s="8" t="inlineStr">
        <is>
          <t>7-in-1 Hydrafacial Machine - entry / manual grade</t>
        </is>
      </c>
      <c r="C50" s="10" t="inlineStr">
        <is>
          <t>Ikonic</t>
        </is>
      </c>
      <c r="D50" s="10" t="inlineStr">
        <is>
          <t>Salon Furniture &amp; Equipment</t>
        </is>
      </c>
      <c r="E50" s="10" t="inlineStr">
        <is>
          <t>Profit</t>
        </is>
      </c>
      <c r="F50" s="10" t="inlineStr">
        <is>
          <t>B2B</t>
        </is>
      </c>
      <c r="G50" s="8" t="inlineStr">
        <is>
          <t>Salon / parlour owner fitting or upgrading a floor</t>
        </is>
      </c>
      <c r="H50" s="11" t="n">
        <v>9500</v>
      </c>
      <c r="I50" s="11" t="n"/>
      <c r="J50" s="11" t="n"/>
      <c r="K50" s="12" t="inlineStr">
        <is>
          <t>INDIA-TRADE-PRICE</t>
        </is>
      </c>
      <c r="L50" s="13">
        <f>IF(J50&gt;0,J50,ROUND(P50/(1-M50),-1))</f>
        <v/>
      </c>
      <c r="M50" s="14" t="n">
        <v>0.5</v>
      </c>
      <c r="N50" s="13">
        <f>ROUND(L50*(1-M50),0)</f>
        <v/>
      </c>
      <c r="O50" s="13">
        <f>L50-N50</f>
        <v/>
      </c>
      <c r="P50" s="13">
        <f>IF(H50&gt;0,ROUND(H50*(1-IF(E50="Profit",DIST_FURN,DIST_TOOL))*FX_PEG*LANDED_MULT,0),"")</f>
        <v/>
      </c>
      <c r="Q50" s="8" t="inlineStr">
        <is>
          <t>https://www.indiamart.com/proddetail/7-in-1-hydra-facial-machine-26355738262.html</t>
        </is>
      </c>
      <c r="R50" s="8" t="inlineStr">
        <is>
          <t>Steady - every new salon fit-out</t>
        </is>
      </c>
      <c r="S50" s="8" t="inlineStr">
        <is>
          <t>None on Daraz - open field</t>
        </is>
      </c>
      <c r="T50" s="15">
        <f>IF(E50="Profit",1,IF(O50&gt;2500,2,3))</f>
        <v/>
      </c>
      <c r="U50" s="8" t="inlineStr">
        <is>
          <t>Payback maths on camera: chair cost vs monthly chair revenue</t>
        </is>
      </c>
      <c r="V50" s="8" t="inlineStr">
        <is>
          <t>India trade listings INR 8,000-11,000 for manual grade. No Daraz Nepal equivalent at any grade. Confirm your supplier quote, then set your own anchor.</t>
        </is>
      </c>
      <c r="W50" s="16">
        <f>IFERROR(ROUND(MIN(10,O50/1500)*IF(E50="Profit",1.4,1),2),"")</f>
        <v/>
      </c>
    </row>
    <row r="51" ht="30" customHeight="1">
      <c r="A51" s="10" t="inlineStr">
        <is>
          <t>ETP-047</t>
        </is>
      </c>
      <c r="B51" s="8" t="inlineStr">
        <is>
          <t>Ikonic Hair Steamer Akiko</t>
        </is>
      </c>
      <c r="C51" s="10" t="inlineStr">
        <is>
          <t>Ikonic</t>
        </is>
      </c>
      <c r="D51" s="10" t="inlineStr">
        <is>
          <t>Salon Furniture &amp; Equipment</t>
        </is>
      </c>
      <c r="E51" s="10" t="inlineStr">
        <is>
          <t>Profit</t>
        </is>
      </c>
      <c r="F51" s="10" t="inlineStr">
        <is>
          <t>B2B</t>
        </is>
      </c>
      <c r="G51" s="8" t="inlineStr">
        <is>
          <t>Salon / parlour owner fitting or upgrading a floor</t>
        </is>
      </c>
      <c r="H51" s="11" t="n">
        <v>9200</v>
      </c>
      <c r="I51" s="11" t="n">
        <v>11500</v>
      </c>
      <c r="J51" s="11" t="n"/>
      <c r="K51" s="12" t="inlineStr">
        <is>
          <t>NO-NEPAL-LISTING</t>
        </is>
      </c>
      <c r="L51" s="13">
        <f>IF(J51&gt;0,J51,ROUND(P51/(1-M51),-1))</f>
        <v/>
      </c>
      <c r="M51" s="14" t="n">
        <v>0.5</v>
      </c>
      <c r="N51" s="13">
        <f>ROUND(L51*(1-M51),0)</f>
        <v/>
      </c>
      <c r="O51" s="13">
        <f>L51-N51</f>
        <v/>
      </c>
      <c r="P51" s="13">
        <f>IF(H51&gt;0,ROUND(H51*(1-IF(E51="Profit",DIST_FURN,DIST_TOOL))*FX_PEG*LANDED_MULT,0),"")</f>
        <v/>
      </c>
      <c r="Q51" s="8" t="inlineStr">
        <is>
          <t>https://www.ikonicworld.com/products/ikonic-akiko-head-steamer</t>
        </is>
      </c>
      <c r="R51" s="8" t="inlineStr">
        <is>
          <t>Steady - every new salon fit-out</t>
        </is>
      </c>
      <c r="S51" s="8" t="inlineStr">
        <is>
          <t>None on Daraz - open field</t>
        </is>
      </c>
      <c r="T51" s="15">
        <f>IF(E51="Profit",1,IF(O51&gt;2500,2,3))</f>
        <v/>
      </c>
      <c r="U51" s="8" t="inlineStr">
        <is>
          <t>Payback maths on camera: chair cost vs monthly chair revenue</t>
        </is>
      </c>
      <c r="V51" s="8" t="inlineStr">
        <is>
          <t>No Daraz Nepal listing found. Price set from landed cost + target margin. You set the anchor here.</t>
        </is>
      </c>
      <c r="W51" s="16">
        <f>IFERROR(ROUND(MIN(10,O51/1500)*IF(E51="Profit",1.4,1),2),"")</f>
        <v/>
      </c>
    </row>
    <row r="52" ht="30" customHeight="1">
      <c r="A52" s="10" t="inlineStr">
        <is>
          <t>ETP-048</t>
        </is>
      </c>
      <c r="B52" s="8" t="inlineStr">
        <is>
          <t>LUMI STOOL BLACK</t>
        </is>
      </c>
      <c r="C52" s="10" t="inlineStr">
        <is>
          <t>Ikonic</t>
        </is>
      </c>
      <c r="D52" s="10" t="inlineStr">
        <is>
          <t>Salon Furniture &amp; Equipment</t>
        </is>
      </c>
      <c r="E52" s="10" t="inlineStr">
        <is>
          <t>Profit</t>
        </is>
      </c>
      <c r="F52" s="10" t="inlineStr">
        <is>
          <t>B2B</t>
        </is>
      </c>
      <c r="G52" s="8" t="inlineStr">
        <is>
          <t>Salon / parlour owner fitting or upgrading a floor</t>
        </is>
      </c>
      <c r="H52" s="11" t="n">
        <v>8800</v>
      </c>
      <c r="I52" s="11" t="n">
        <v>11000</v>
      </c>
      <c r="J52" s="11" t="n"/>
      <c r="K52" s="12" t="inlineStr">
        <is>
          <t>NO-NEPAL-LISTING</t>
        </is>
      </c>
      <c r="L52" s="13">
        <f>IF(J52&gt;0,J52,ROUND(P52/(1-M52),-1))</f>
        <v/>
      </c>
      <c r="M52" s="14" t="n">
        <v>0.5</v>
      </c>
      <c r="N52" s="13">
        <f>ROUND(L52*(1-M52),0)</f>
        <v/>
      </c>
      <c r="O52" s="13">
        <f>L52-N52</f>
        <v/>
      </c>
      <c r="P52" s="13">
        <f>IF(H52&gt;0,ROUND(H52*(1-IF(E52="Profit",DIST_FURN,DIST_TOOL))*FX_PEG*LANDED_MULT,0),"")</f>
        <v/>
      </c>
      <c r="Q52" s="8" t="inlineStr">
        <is>
          <t>https://www.ikonicworld.com/products/lumi-stool-black</t>
        </is>
      </c>
      <c r="R52" s="8" t="inlineStr">
        <is>
          <t>Steady - every new salon fit-out</t>
        </is>
      </c>
      <c r="S52" s="8" t="inlineStr">
        <is>
          <t>None on Daraz - open field</t>
        </is>
      </c>
      <c r="T52" s="15">
        <f>IF(E52="Profit",1,IF(O52&gt;2500,2,3))</f>
        <v/>
      </c>
      <c r="U52" s="8" t="inlineStr">
        <is>
          <t>Payback maths on camera: chair cost vs monthly chair revenue</t>
        </is>
      </c>
      <c r="V52" s="8" t="inlineStr">
        <is>
          <t>No Daraz Nepal listing found. Price set from landed cost + target margin. You set the anchor here.</t>
        </is>
      </c>
      <c r="W52" s="16">
        <f>IFERROR(ROUND(MIN(10,O52/1500)*IF(E52="Profit",1.4,1),2),"")</f>
        <v/>
      </c>
    </row>
    <row r="53" ht="30" customHeight="1">
      <c r="A53" s="10" t="inlineStr">
        <is>
          <t>ETP-049</t>
        </is>
      </c>
      <c r="B53" s="8" t="inlineStr">
        <is>
          <t>EIRA STOOL BLACK</t>
        </is>
      </c>
      <c r="C53" s="10" t="inlineStr">
        <is>
          <t>Ikonic</t>
        </is>
      </c>
      <c r="D53" s="10" t="inlineStr">
        <is>
          <t>Salon Furniture &amp; Equipment</t>
        </is>
      </c>
      <c r="E53" s="10" t="inlineStr">
        <is>
          <t>Profit</t>
        </is>
      </c>
      <c r="F53" s="10" t="inlineStr">
        <is>
          <t>B2B</t>
        </is>
      </c>
      <c r="G53" s="8" t="inlineStr">
        <is>
          <t>Salon / parlour owner fitting or upgrading a floor</t>
        </is>
      </c>
      <c r="H53" s="11" t="n">
        <v>8000</v>
      </c>
      <c r="I53" s="11" t="n">
        <v>10000</v>
      </c>
      <c r="J53" s="11" t="n"/>
      <c r="K53" s="12" t="inlineStr">
        <is>
          <t>NO-NEPAL-LISTING</t>
        </is>
      </c>
      <c r="L53" s="13">
        <f>IF(J53&gt;0,J53,ROUND(P53/(1-M53),-1))</f>
        <v/>
      </c>
      <c r="M53" s="14" t="n">
        <v>0.5</v>
      </c>
      <c r="N53" s="13">
        <f>ROUND(L53*(1-M53),0)</f>
        <v/>
      </c>
      <c r="O53" s="13">
        <f>L53-N53</f>
        <v/>
      </c>
      <c r="P53" s="13">
        <f>IF(H53&gt;0,ROUND(H53*(1-IF(E53="Profit",DIST_FURN,DIST_TOOL))*FX_PEG*LANDED_MULT,0),"")</f>
        <v/>
      </c>
      <c r="Q53" s="8" t="inlineStr">
        <is>
          <t>https://www.ikonicworld.com/products/eira-stool-black</t>
        </is>
      </c>
      <c r="R53" s="8" t="inlineStr">
        <is>
          <t>Steady - every new salon fit-out</t>
        </is>
      </c>
      <c r="S53" s="8" t="inlineStr">
        <is>
          <t>None on Daraz - open field</t>
        </is>
      </c>
      <c r="T53" s="15">
        <f>IF(E53="Profit",1,IF(O53&gt;2500,2,3))</f>
        <v/>
      </c>
      <c r="U53" s="8" t="inlineStr">
        <is>
          <t>Payback maths on camera: chair cost vs monthly chair revenue</t>
        </is>
      </c>
      <c r="V53" s="8" t="inlineStr">
        <is>
          <t>No Daraz Nepal listing found. Price set from landed cost + target margin. You set the anchor here.</t>
        </is>
      </c>
      <c r="W53" s="16">
        <f>IFERROR(ROUND(MIN(10,O53/1500)*IF(E53="Profit",1.4,1),2),"")</f>
        <v/>
      </c>
    </row>
    <row r="54" ht="30" customHeight="1">
      <c r="A54" s="10" t="inlineStr">
        <is>
          <t>ETP-050</t>
        </is>
      </c>
      <c r="B54" s="8" t="inlineStr">
        <is>
          <t>PHEME HAIR TROLLEY BLACK</t>
        </is>
      </c>
      <c r="C54" s="10" t="inlineStr">
        <is>
          <t>Ikonic</t>
        </is>
      </c>
      <c r="D54" s="10" t="inlineStr">
        <is>
          <t>Salon Furniture &amp; Equipment</t>
        </is>
      </c>
      <c r="E54" s="10" t="inlineStr">
        <is>
          <t>Profit</t>
        </is>
      </c>
      <c r="F54" s="10" t="inlineStr">
        <is>
          <t>B2B</t>
        </is>
      </c>
      <c r="G54" s="8" t="inlineStr">
        <is>
          <t>Salon / parlour owner fitting or upgrading a floor</t>
        </is>
      </c>
      <c r="H54" s="11" t="n">
        <v>8000</v>
      </c>
      <c r="I54" s="11" t="n">
        <v>10000</v>
      </c>
      <c r="J54" s="11" t="n"/>
      <c r="K54" s="12" t="inlineStr">
        <is>
          <t>NO-NEPAL-LISTING</t>
        </is>
      </c>
      <c r="L54" s="13">
        <f>IF(J54&gt;0,J54,ROUND(P54/(1-M54),-1))</f>
        <v/>
      </c>
      <c r="M54" s="14" t="n">
        <v>0.5</v>
      </c>
      <c r="N54" s="13">
        <f>ROUND(L54*(1-M54),0)</f>
        <v/>
      </c>
      <c r="O54" s="13">
        <f>L54-N54</f>
        <v/>
      </c>
      <c r="P54" s="13">
        <f>IF(H54&gt;0,ROUND(H54*(1-IF(E54="Profit",DIST_FURN,DIST_TOOL))*FX_PEG*LANDED_MULT,0),"")</f>
        <v/>
      </c>
      <c r="Q54" s="8" t="inlineStr">
        <is>
          <t>https://www.ikonicworld.com/products/pheme-hair-trolley-black</t>
        </is>
      </c>
      <c r="R54" s="8" t="inlineStr">
        <is>
          <t>Steady - every new salon fit-out</t>
        </is>
      </c>
      <c r="S54" s="8" t="inlineStr">
        <is>
          <t>None on Daraz - open field</t>
        </is>
      </c>
      <c r="T54" s="15">
        <f>IF(E54="Profit",1,IF(O54&gt;2500,2,3))</f>
        <v/>
      </c>
      <c r="U54" s="8" t="inlineStr">
        <is>
          <t>Payback maths on camera: chair cost vs monthly chair revenue</t>
        </is>
      </c>
      <c r="V54" s="8" t="inlineStr">
        <is>
          <t>No Daraz Nepal listing found. Price set from landed cost + target margin. You set the anchor here.</t>
        </is>
      </c>
      <c r="W54" s="16">
        <f>IFERROR(ROUND(MIN(10,O54/1500)*IF(E54="Profit",1.4,1),2),"")</f>
        <v/>
      </c>
    </row>
    <row r="55" ht="30" customHeight="1">
      <c r="A55" s="10" t="inlineStr">
        <is>
          <t>ETP-051</t>
        </is>
      </c>
      <c r="B55" s="8" t="inlineStr">
        <is>
          <t>Ikonic Pedicure Stool Chloe</t>
        </is>
      </c>
      <c r="C55" s="10" t="inlineStr">
        <is>
          <t>Ikonic</t>
        </is>
      </c>
      <c r="D55" s="10" t="inlineStr">
        <is>
          <t>Salon Furniture &amp; Equipment</t>
        </is>
      </c>
      <c r="E55" s="10" t="inlineStr">
        <is>
          <t>Profit</t>
        </is>
      </c>
      <c r="F55" s="10" t="inlineStr">
        <is>
          <t>B2B</t>
        </is>
      </c>
      <c r="G55" s="8" t="inlineStr">
        <is>
          <t>Salon / parlour owner fitting or upgrading a floor</t>
        </is>
      </c>
      <c r="H55" s="11" t="n">
        <v>8000</v>
      </c>
      <c r="I55" s="11" t="n">
        <v>10000</v>
      </c>
      <c r="J55" s="11" t="n"/>
      <c r="K55" s="12" t="inlineStr">
        <is>
          <t>NO-NEPAL-LISTING</t>
        </is>
      </c>
      <c r="L55" s="13">
        <f>IF(J55&gt;0,J55,ROUND(P55/(1-M55),-1))</f>
        <v/>
      </c>
      <c r="M55" s="14" t="n">
        <v>0.5</v>
      </c>
      <c r="N55" s="13">
        <f>ROUND(L55*(1-M55),0)</f>
        <v/>
      </c>
      <c r="O55" s="13">
        <f>L55-N55</f>
        <v/>
      </c>
      <c r="P55" s="13">
        <f>IF(H55&gt;0,ROUND(H55*(1-IF(E55="Profit",DIST_FURN,DIST_TOOL))*FX_PEG*LANDED_MULT,0),"")</f>
        <v/>
      </c>
      <c r="Q55" s="8" t="inlineStr">
        <is>
          <t>https://www.ikonicworld.com/products/ikonic-chloe-stool-ik-vs257b</t>
        </is>
      </c>
      <c r="R55" s="8" t="inlineStr">
        <is>
          <t>Steady - every new salon fit-out</t>
        </is>
      </c>
      <c r="S55" s="8" t="inlineStr">
        <is>
          <t>None on Daraz - open field</t>
        </is>
      </c>
      <c r="T55" s="15">
        <f>IF(E55="Profit",1,IF(O55&gt;2500,2,3))</f>
        <v/>
      </c>
      <c r="U55" s="8" t="inlineStr">
        <is>
          <t>Payback maths on camera: chair cost vs monthly chair revenue</t>
        </is>
      </c>
      <c r="V55" s="8" t="inlineStr">
        <is>
          <t>No Daraz Nepal listing found. Price set from landed cost + target margin. You set the anchor here.</t>
        </is>
      </c>
      <c r="W55" s="16">
        <f>IFERROR(ROUND(MIN(10,O55/1500)*IF(E55="Profit",1.4,1),2),"")</f>
        <v/>
      </c>
    </row>
    <row r="56" ht="30" customHeight="1">
      <c r="A56" s="10" t="inlineStr">
        <is>
          <t>ETP-052</t>
        </is>
      </c>
      <c r="B56" s="8" t="inlineStr">
        <is>
          <t>Ikonic Professional 2 in 1 Brush Cleaner &amp; Sterilizer</t>
        </is>
      </c>
      <c r="C56" s="10" t="inlineStr">
        <is>
          <t>Ikonic</t>
        </is>
      </c>
      <c r="D56" s="10" t="inlineStr">
        <is>
          <t>Salon Furniture &amp; Equipment</t>
        </is>
      </c>
      <c r="E56" s="10" t="inlineStr">
        <is>
          <t>Profit</t>
        </is>
      </c>
      <c r="F56" s="10" t="inlineStr">
        <is>
          <t>B2B</t>
        </is>
      </c>
      <c r="G56" s="8" t="inlineStr">
        <is>
          <t>Salon / parlour owner fitting or upgrading a floor</t>
        </is>
      </c>
      <c r="H56" s="11" t="n">
        <v>7800</v>
      </c>
      <c r="I56" s="11" t="n">
        <v>12000</v>
      </c>
      <c r="J56" s="11" t="n"/>
      <c r="K56" s="12" t="inlineStr">
        <is>
          <t>NO-NEPAL-LISTING</t>
        </is>
      </c>
      <c r="L56" s="13">
        <f>IF(J56&gt;0,J56,ROUND(P56/(1-M56),-1))</f>
        <v/>
      </c>
      <c r="M56" s="14" t="n">
        <v>0.5</v>
      </c>
      <c r="N56" s="13">
        <f>ROUND(L56*(1-M56),0)</f>
        <v/>
      </c>
      <c r="O56" s="13">
        <f>L56-N56</f>
        <v/>
      </c>
      <c r="P56" s="13">
        <f>IF(H56&gt;0,ROUND(H56*(1-IF(E56="Profit",DIST_FURN,DIST_TOOL))*FX_PEG*LANDED_MULT,0),"")</f>
        <v/>
      </c>
      <c r="Q56" s="8" t="inlineStr">
        <is>
          <t>https://www.ikonicworld.com/products/ikonic-professional-2-in-1-brush-cleaner-sterilizer</t>
        </is>
      </c>
      <c r="R56" s="8" t="inlineStr">
        <is>
          <t>Steady - every new salon fit-out</t>
        </is>
      </c>
      <c r="S56" s="8" t="inlineStr">
        <is>
          <t>None on Daraz - open field</t>
        </is>
      </c>
      <c r="T56" s="15">
        <f>IF(E56="Profit",1,IF(O56&gt;2500,2,3))</f>
        <v/>
      </c>
      <c r="U56" s="8" t="inlineStr">
        <is>
          <t>Payback maths on camera: chair cost vs monthly chair revenue</t>
        </is>
      </c>
      <c r="V56" s="8" t="inlineStr">
        <is>
          <t>No Daraz Nepal listing found. Price set from landed cost + target margin. You set the anchor here.</t>
        </is>
      </c>
      <c r="W56" s="16">
        <f>IFERROR(ROUND(MIN(10,O56/1500)*IF(E56="Profit",1.4,1),2),"")</f>
        <v/>
      </c>
    </row>
    <row r="57" ht="30" customHeight="1">
      <c r="A57" s="10" t="inlineStr">
        <is>
          <t>ETP-053</t>
        </is>
      </c>
      <c r="B57" s="8" t="inlineStr">
        <is>
          <t>UTA HAIR SERVICE TROLLEY</t>
        </is>
      </c>
      <c r="C57" s="10" t="inlineStr">
        <is>
          <t>Ikonic</t>
        </is>
      </c>
      <c r="D57" s="10" t="inlineStr">
        <is>
          <t>Salon Furniture &amp; Equipment</t>
        </is>
      </c>
      <c r="E57" s="10" t="inlineStr">
        <is>
          <t>Profit</t>
        </is>
      </c>
      <c r="F57" s="10" t="inlineStr">
        <is>
          <t>B2B</t>
        </is>
      </c>
      <c r="G57" s="8" t="inlineStr">
        <is>
          <t>Salon / parlour owner fitting or upgrading a floor</t>
        </is>
      </c>
      <c r="H57" s="11" t="n">
        <v>7600</v>
      </c>
      <c r="I57" s="11" t="n">
        <v>9500</v>
      </c>
      <c r="J57" s="11" t="n"/>
      <c r="K57" s="12" t="inlineStr">
        <is>
          <t>NO-NEPAL-LISTING</t>
        </is>
      </c>
      <c r="L57" s="13">
        <f>IF(J57&gt;0,J57,ROUND(P57/(1-M57),-1))</f>
        <v/>
      </c>
      <c r="M57" s="14" t="n">
        <v>0.5</v>
      </c>
      <c r="N57" s="13">
        <f>ROUND(L57*(1-M57),0)</f>
        <v/>
      </c>
      <c r="O57" s="13">
        <f>L57-N57</f>
        <v/>
      </c>
      <c r="P57" s="13">
        <f>IF(H57&gt;0,ROUND(H57*(1-IF(E57="Profit",DIST_FURN,DIST_TOOL))*FX_PEG*LANDED_MULT,0),"")</f>
        <v/>
      </c>
      <c r="Q57" s="8" t="inlineStr">
        <is>
          <t>https://www.ikonicworld.com/products/uta-hair-service-trolley</t>
        </is>
      </c>
      <c r="R57" s="8" t="inlineStr">
        <is>
          <t>Steady - every new salon fit-out</t>
        </is>
      </c>
      <c r="S57" s="8" t="inlineStr">
        <is>
          <t>None on Daraz - open field</t>
        </is>
      </c>
      <c r="T57" s="15">
        <f>IF(E57="Profit",1,IF(O57&gt;2500,2,3))</f>
        <v/>
      </c>
      <c r="U57" s="8" t="inlineStr">
        <is>
          <t>Payback maths on camera: chair cost vs monthly chair revenue</t>
        </is>
      </c>
      <c r="V57" s="8" t="inlineStr">
        <is>
          <t>No Daraz Nepal listing found. Price set from landed cost + target margin. You set the anchor here.</t>
        </is>
      </c>
      <c r="W57" s="16">
        <f>IFERROR(ROUND(MIN(10,O57/1500)*IF(E57="Profit",1.4,1),2),"")</f>
        <v/>
      </c>
    </row>
    <row r="58" ht="30" customHeight="1">
      <c r="A58" s="10" t="inlineStr">
        <is>
          <t>ETP-054</t>
        </is>
      </c>
      <c r="B58" s="8" t="inlineStr">
        <is>
          <t>Ikonic Trolley Egon - Black</t>
        </is>
      </c>
      <c r="C58" s="10" t="inlineStr">
        <is>
          <t>Ikonic</t>
        </is>
      </c>
      <c r="D58" s="10" t="inlineStr">
        <is>
          <t>Salon Furniture &amp; Equipment</t>
        </is>
      </c>
      <c r="E58" s="10" t="inlineStr">
        <is>
          <t>Profit</t>
        </is>
      </c>
      <c r="F58" s="10" t="inlineStr">
        <is>
          <t>B2B</t>
        </is>
      </c>
      <c r="G58" s="8" t="inlineStr">
        <is>
          <t>Salon / parlour owner fitting or upgrading a floor</t>
        </is>
      </c>
      <c r="H58" s="11" t="n">
        <v>7600</v>
      </c>
      <c r="I58" s="11" t="n">
        <v>9500</v>
      </c>
      <c r="J58" s="11" t="n"/>
      <c r="K58" s="12" t="inlineStr">
        <is>
          <t>NO-NEPAL-LISTING</t>
        </is>
      </c>
      <c r="L58" s="13">
        <f>IF(J58&gt;0,J58,ROUND(P58/(1-M58),-1))</f>
        <v/>
      </c>
      <c r="M58" s="14" t="n">
        <v>0.5</v>
      </c>
      <c r="N58" s="13">
        <f>ROUND(L58*(1-M58),0)</f>
        <v/>
      </c>
      <c r="O58" s="13">
        <f>L58-N58</f>
        <v/>
      </c>
      <c r="P58" s="13">
        <f>IF(H58&gt;0,ROUND(H58*(1-IF(E58="Profit",DIST_FURN,DIST_TOOL))*FX_PEG*LANDED_MULT,0),"")</f>
        <v/>
      </c>
      <c r="Q58" s="8" t="inlineStr">
        <is>
          <t>https://www.ikonicworld.com/products/ikonic-elogy-trolley</t>
        </is>
      </c>
      <c r="R58" s="8" t="inlineStr">
        <is>
          <t>Steady - every new salon fit-out</t>
        </is>
      </c>
      <c r="S58" s="8" t="inlineStr">
        <is>
          <t>None on Daraz - open field</t>
        </is>
      </c>
      <c r="T58" s="15">
        <f>IF(E58="Profit",1,IF(O58&gt;2500,2,3))</f>
        <v/>
      </c>
      <c r="U58" s="8" t="inlineStr">
        <is>
          <t>Payback maths on camera: chair cost vs monthly chair revenue</t>
        </is>
      </c>
      <c r="V58" s="8" t="inlineStr">
        <is>
          <t>No Daraz Nepal listing found. Price set from landed cost + target margin. You set the anchor here.</t>
        </is>
      </c>
      <c r="W58" s="16">
        <f>IFERROR(ROUND(MIN(10,O58/1500)*IF(E58="Profit",1.4,1),2),"")</f>
        <v/>
      </c>
    </row>
    <row r="59" ht="30" customHeight="1">
      <c r="A59" s="10" t="inlineStr">
        <is>
          <t>ETP-055</t>
        </is>
      </c>
      <c r="B59" s="8" t="inlineStr">
        <is>
          <t>Ikonic Towel Warmer Aimi</t>
        </is>
      </c>
      <c r="C59" s="10" t="inlineStr">
        <is>
          <t>Ikonic</t>
        </is>
      </c>
      <c r="D59" s="10" t="inlineStr">
        <is>
          <t>Salon Furniture &amp; Equipment</t>
        </is>
      </c>
      <c r="E59" s="10" t="inlineStr">
        <is>
          <t>Profit</t>
        </is>
      </c>
      <c r="F59" s="10" t="inlineStr">
        <is>
          <t>B2B</t>
        </is>
      </c>
      <c r="G59" s="8" t="inlineStr">
        <is>
          <t>Salon / parlour owner fitting or upgrading a floor</t>
        </is>
      </c>
      <c r="H59" s="11" t="n">
        <v>7200</v>
      </c>
      <c r="I59" s="11" t="n">
        <v>9000</v>
      </c>
      <c r="J59" s="11" t="n"/>
      <c r="K59" s="12" t="inlineStr">
        <is>
          <t>NO-NEPAL-LISTING</t>
        </is>
      </c>
      <c r="L59" s="13">
        <f>IF(J59&gt;0,J59,ROUND(P59/(1-M59),-1))</f>
        <v/>
      </c>
      <c r="M59" s="14" t="n">
        <v>0.5</v>
      </c>
      <c r="N59" s="13">
        <f>ROUND(L59*(1-M59),0)</f>
        <v/>
      </c>
      <c r="O59" s="13">
        <f>L59-N59</f>
        <v/>
      </c>
      <c r="P59" s="13">
        <f>IF(H59&gt;0,ROUND(H59*(1-IF(E59="Profit",DIST_FURN,DIST_TOOL))*FX_PEG*LANDED_MULT,0),"")</f>
        <v/>
      </c>
      <c r="Q59" s="8" t="inlineStr">
        <is>
          <t>https://www.ikonicworld.com/products/ikonic-towel-warmer-aimi</t>
        </is>
      </c>
      <c r="R59" s="8" t="inlineStr">
        <is>
          <t>Steady - every new salon fit-out</t>
        </is>
      </c>
      <c r="S59" s="8" t="inlineStr">
        <is>
          <t>None on Daraz - open field</t>
        </is>
      </c>
      <c r="T59" s="15">
        <f>IF(E59="Profit",1,IF(O59&gt;2500,2,3))</f>
        <v/>
      </c>
      <c r="U59" s="8" t="inlineStr">
        <is>
          <t>Payback maths on camera: chair cost vs monthly chair revenue</t>
        </is>
      </c>
      <c r="V59" s="8" t="inlineStr">
        <is>
          <t>No Daraz Nepal listing found. Price set from landed cost + target margin. You set the anchor here.</t>
        </is>
      </c>
      <c r="W59" s="16">
        <f>IFERROR(ROUND(MIN(10,O59/1500)*IF(E59="Profit",1.4,1),2),"")</f>
        <v/>
      </c>
    </row>
    <row r="60" ht="30" customHeight="1">
      <c r="A60" s="10" t="inlineStr">
        <is>
          <t>ETP-056</t>
        </is>
      </c>
      <c r="B60" s="8" t="inlineStr">
        <is>
          <t>Ikonic Stool Merta - Grey</t>
        </is>
      </c>
      <c r="C60" s="10" t="inlineStr">
        <is>
          <t>Ikonic</t>
        </is>
      </c>
      <c r="D60" s="10" t="inlineStr">
        <is>
          <t>Salon Furniture &amp; Equipment</t>
        </is>
      </c>
      <c r="E60" s="10" t="inlineStr">
        <is>
          <t>Profit</t>
        </is>
      </c>
      <c r="F60" s="10" t="inlineStr">
        <is>
          <t>B2B</t>
        </is>
      </c>
      <c r="G60" s="8" t="inlineStr">
        <is>
          <t>Salon / parlour owner fitting or upgrading a floor</t>
        </is>
      </c>
      <c r="H60" s="11" t="n">
        <v>7200</v>
      </c>
      <c r="I60" s="11" t="n">
        <v>9000</v>
      </c>
      <c r="J60" s="11" t="n"/>
      <c r="K60" s="12" t="inlineStr">
        <is>
          <t>NO-NEPAL-LISTING</t>
        </is>
      </c>
      <c r="L60" s="13">
        <f>IF(J60&gt;0,J60,ROUND(P60/(1-M60),-1))</f>
        <v/>
      </c>
      <c r="M60" s="14" t="n">
        <v>0.5</v>
      </c>
      <c r="N60" s="13">
        <f>ROUND(L60*(1-M60),0)</f>
        <v/>
      </c>
      <c r="O60" s="13">
        <f>L60-N60</f>
        <v/>
      </c>
      <c r="P60" s="13">
        <f>IF(H60&gt;0,ROUND(H60*(1-IF(E60="Profit",DIST_FURN,DIST_TOOL))*FX_PEG*LANDED_MULT,0),"")</f>
        <v/>
      </c>
      <c r="Q60" s="8" t="inlineStr">
        <is>
          <t>https://www.ikonicworld.com/products/merta-stool</t>
        </is>
      </c>
      <c r="R60" s="8" t="inlineStr">
        <is>
          <t>Steady - every new salon fit-out</t>
        </is>
      </c>
      <c r="S60" s="8" t="inlineStr">
        <is>
          <t>None on Daraz - open field</t>
        </is>
      </c>
      <c r="T60" s="15">
        <f>IF(E60="Profit",1,IF(O60&gt;2500,2,3))</f>
        <v/>
      </c>
      <c r="U60" s="8" t="inlineStr">
        <is>
          <t>Payback maths on camera: chair cost vs monthly chair revenue</t>
        </is>
      </c>
      <c r="V60" s="8" t="inlineStr">
        <is>
          <t>No Daraz Nepal listing found. Price set from landed cost + target margin. You set the anchor here.</t>
        </is>
      </c>
      <c r="W60" s="16">
        <f>IFERROR(ROUND(MIN(10,O60/1500)*IF(E60="Profit",1.4,1),2),"")</f>
        <v/>
      </c>
    </row>
    <row r="61" ht="30" customHeight="1">
      <c r="A61" s="10" t="inlineStr">
        <is>
          <t>ETP-057</t>
        </is>
      </c>
      <c r="B61" s="8" t="inlineStr">
        <is>
          <t>Ikonic Facial Steamer Ren</t>
        </is>
      </c>
      <c r="C61" s="10" t="inlineStr">
        <is>
          <t>Ikonic</t>
        </is>
      </c>
      <c r="D61" s="10" t="inlineStr">
        <is>
          <t>Salon Furniture &amp; Equipment</t>
        </is>
      </c>
      <c r="E61" s="10" t="inlineStr">
        <is>
          <t>Profit</t>
        </is>
      </c>
      <c r="F61" s="10" t="inlineStr">
        <is>
          <t>B2B</t>
        </is>
      </c>
      <c r="G61" s="8" t="inlineStr">
        <is>
          <t>Salon / parlour owner fitting or upgrading a floor</t>
        </is>
      </c>
      <c r="H61" s="11" t="n">
        <v>5600</v>
      </c>
      <c r="I61" s="11" t="n">
        <v>7000</v>
      </c>
      <c r="J61" s="11" t="n"/>
      <c r="K61" s="12" t="inlineStr">
        <is>
          <t>NO-NEPAL-LISTING</t>
        </is>
      </c>
      <c r="L61" s="13">
        <f>IF(J61&gt;0,J61,ROUND(P61/(1-M61),-1))</f>
        <v/>
      </c>
      <c r="M61" s="14" t="n">
        <v>0.5</v>
      </c>
      <c r="N61" s="13">
        <f>ROUND(L61*(1-M61),0)</f>
        <v/>
      </c>
      <c r="O61" s="13">
        <f>L61-N61</f>
        <v/>
      </c>
      <c r="P61" s="13">
        <f>IF(H61&gt;0,ROUND(H61*(1-IF(E61="Profit",DIST_FURN,DIST_TOOL))*FX_PEG*LANDED_MULT,0),"")</f>
        <v/>
      </c>
      <c r="Q61" s="8" t="inlineStr">
        <is>
          <t>https://www.ikonicworld.com/products/ikonic-facial-steamer-ik-20</t>
        </is>
      </c>
      <c r="R61" s="8" t="inlineStr">
        <is>
          <t>Steady - every new salon fit-out</t>
        </is>
      </c>
      <c r="S61" s="8" t="inlineStr">
        <is>
          <t>None on Daraz - open field</t>
        </is>
      </c>
      <c r="T61" s="15">
        <f>IF(E61="Profit",1,IF(O61&gt;2500,2,3))</f>
        <v/>
      </c>
      <c r="U61" s="8" t="inlineStr">
        <is>
          <t>Payback maths on camera: chair cost vs monthly chair revenue</t>
        </is>
      </c>
      <c r="V61" s="8" t="inlineStr">
        <is>
          <t>No Daraz Nepal listing found. Price set from landed cost + target margin. You set the anchor here.</t>
        </is>
      </c>
      <c r="W61" s="16">
        <f>IFERROR(ROUND(MIN(10,O61/1500)*IF(E61="Profit",1.4,1),2),"")</f>
        <v/>
      </c>
    </row>
    <row r="62" ht="30" customHeight="1">
      <c r="A62" s="10" t="inlineStr">
        <is>
          <t>ETP-058</t>
        </is>
      </c>
      <c r="B62" s="8" t="inlineStr">
        <is>
          <t>Ikonic Jelly Fish Trolley Dai</t>
        </is>
      </c>
      <c r="C62" s="10" t="inlineStr">
        <is>
          <t>Ikonic</t>
        </is>
      </c>
      <c r="D62" s="10" t="inlineStr">
        <is>
          <t>Salon Furniture &amp; Equipment</t>
        </is>
      </c>
      <c r="E62" s="10" t="inlineStr">
        <is>
          <t>Profit</t>
        </is>
      </c>
      <c r="F62" s="10" t="inlineStr">
        <is>
          <t>B2B</t>
        </is>
      </c>
      <c r="G62" s="8" t="inlineStr">
        <is>
          <t>Salon / parlour owner fitting or upgrading a floor</t>
        </is>
      </c>
      <c r="H62" s="11" t="n">
        <v>5400</v>
      </c>
      <c r="I62" s="11" t="n">
        <v>6750</v>
      </c>
      <c r="J62" s="11" t="n"/>
      <c r="K62" s="12" t="inlineStr">
        <is>
          <t>NO-NEPAL-LISTING</t>
        </is>
      </c>
      <c r="L62" s="13">
        <f>IF(J62&gt;0,J62,ROUND(P62/(1-M62),-1))</f>
        <v/>
      </c>
      <c r="M62" s="14" t="n">
        <v>0.5</v>
      </c>
      <c r="N62" s="13">
        <f>ROUND(L62*(1-M62),0)</f>
        <v/>
      </c>
      <c r="O62" s="13">
        <f>L62-N62</f>
        <v/>
      </c>
      <c r="P62" s="13">
        <f>IF(H62&gt;0,ROUND(H62*(1-IF(E62="Profit",DIST_FURN,DIST_TOOL))*FX_PEG*LANDED_MULT,0),"")</f>
        <v/>
      </c>
      <c r="Q62" s="8" t="inlineStr">
        <is>
          <t>https://www.ikonicworld.com/products/ikonic-dai-color-service-trolley</t>
        </is>
      </c>
      <c r="R62" s="8" t="inlineStr">
        <is>
          <t>Steady - every new salon fit-out</t>
        </is>
      </c>
      <c r="S62" s="8" t="inlineStr">
        <is>
          <t>None on Daraz - open field</t>
        </is>
      </c>
      <c r="T62" s="15">
        <f>IF(E62="Profit",1,IF(O62&gt;2500,2,3))</f>
        <v/>
      </c>
      <c r="U62" s="8" t="inlineStr">
        <is>
          <t>Payback maths on camera: chair cost vs monthly chair revenue</t>
        </is>
      </c>
      <c r="V62" s="8" t="inlineStr">
        <is>
          <t>No Daraz Nepal listing found. Price set from landed cost + target margin. You set the anchor here.</t>
        </is>
      </c>
      <c r="W62" s="16">
        <f>IFERROR(ROUND(MIN(10,O62/1500)*IF(E62="Profit",1.4,1),2),"")</f>
        <v/>
      </c>
    </row>
    <row r="63" ht="30" customHeight="1">
      <c r="A63" s="10" t="inlineStr">
        <is>
          <t>ETP-059</t>
        </is>
      </c>
      <c r="B63" s="8" t="inlineStr">
        <is>
          <t>Ikonic UV Sterilizer Ayumi</t>
        </is>
      </c>
      <c r="C63" s="10" t="inlineStr">
        <is>
          <t>Ikonic</t>
        </is>
      </c>
      <c r="D63" s="10" t="inlineStr">
        <is>
          <t>Salon Furniture &amp; Equipment</t>
        </is>
      </c>
      <c r="E63" s="10" t="inlineStr">
        <is>
          <t>Profit</t>
        </is>
      </c>
      <c r="F63" s="10" t="inlineStr">
        <is>
          <t>B2B</t>
        </is>
      </c>
      <c r="G63" s="8" t="inlineStr">
        <is>
          <t>Salon / parlour owner fitting or upgrading a floor</t>
        </is>
      </c>
      <c r="H63" s="11" t="n">
        <v>5200</v>
      </c>
      <c r="I63" s="11" t="n">
        <v>6500</v>
      </c>
      <c r="J63" s="11" t="n"/>
      <c r="K63" s="12" t="inlineStr">
        <is>
          <t>NO-NEPAL-LISTING</t>
        </is>
      </c>
      <c r="L63" s="13">
        <f>IF(J63&gt;0,J63,ROUND(P63/(1-M63),-1))</f>
        <v/>
      </c>
      <c r="M63" s="14" t="n">
        <v>0.5</v>
      </c>
      <c r="N63" s="13">
        <f>ROUND(L63*(1-M63),0)</f>
        <v/>
      </c>
      <c r="O63" s="13">
        <f>L63-N63</f>
        <v/>
      </c>
      <c r="P63" s="13">
        <f>IF(H63&gt;0,ROUND(H63*(1-IF(E63="Profit",DIST_FURN,DIST_TOOL))*FX_PEG*LANDED_MULT,0),"")</f>
        <v/>
      </c>
      <c r="Q63" s="8" t="inlineStr">
        <is>
          <t>https://www.ikonicworld.com/products/ik-520-sterlizer</t>
        </is>
      </c>
      <c r="R63" s="8" t="inlineStr">
        <is>
          <t>Steady - every new salon fit-out</t>
        </is>
      </c>
      <c r="S63" s="8" t="inlineStr">
        <is>
          <t>None on Daraz - open field</t>
        </is>
      </c>
      <c r="T63" s="15">
        <f>IF(E63="Profit",1,IF(O63&gt;2500,2,3))</f>
        <v/>
      </c>
      <c r="U63" s="8" t="inlineStr">
        <is>
          <t>Payback maths on camera: chair cost vs monthly chair revenue</t>
        </is>
      </c>
      <c r="V63" s="8" t="inlineStr">
        <is>
          <t>No Daraz Nepal listing found. Price set from landed cost + target margin. You set the anchor here.</t>
        </is>
      </c>
      <c r="W63" s="16">
        <f>IFERROR(ROUND(MIN(10,O63/1500)*IF(E63="Profit",1.4,1),2),"")</f>
        <v/>
      </c>
    </row>
    <row r="64" ht="30" customHeight="1">
      <c r="A64" s="10" t="inlineStr">
        <is>
          <t>ETP-060</t>
        </is>
      </c>
      <c r="B64" s="8" t="inlineStr">
        <is>
          <t>Ikonic Hair Trolley Basil</t>
        </is>
      </c>
      <c r="C64" s="10" t="inlineStr">
        <is>
          <t>Ikonic</t>
        </is>
      </c>
      <c r="D64" s="10" t="inlineStr">
        <is>
          <t>Salon Furniture &amp; Equipment</t>
        </is>
      </c>
      <c r="E64" s="10" t="inlineStr">
        <is>
          <t>Profit</t>
        </is>
      </c>
      <c r="F64" s="10" t="inlineStr">
        <is>
          <t>B2B</t>
        </is>
      </c>
      <c r="G64" s="8" t="inlineStr">
        <is>
          <t>Salon / parlour owner fitting or upgrading a floor</t>
        </is>
      </c>
      <c r="H64" s="11" t="n">
        <v>5200</v>
      </c>
      <c r="I64" s="11" t="n">
        <v>6500</v>
      </c>
      <c r="J64" s="11" t="n"/>
      <c r="K64" s="12" t="inlineStr">
        <is>
          <t>NO-NEPAL-LISTING</t>
        </is>
      </c>
      <c r="L64" s="13">
        <f>IF(J64&gt;0,J64,ROUND(P64/(1-M64),-1))</f>
        <v/>
      </c>
      <c r="M64" s="14" t="n">
        <v>0.5</v>
      </c>
      <c r="N64" s="13">
        <f>ROUND(L64*(1-M64),0)</f>
        <v/>
      </c>
      <c r="O64" s="13">
        <f>L64-N64</f>
        <v/>
      </c>
      <c r="P64" s="13">
        <f>IF(H64&gt;0,ROUND(H64*(1-IF(E64="Profit",DIST_FURN,DIST_TOOL))*FX_PEG*LANDED_MULT,0),"")</f>
        <v/>
      </c>
      <c r="Q64" s="8" t="inlineStr">
        <is>
          <t>https://www.ikonicworld.com/products/ik-200-hair-trolley</t>
        </is>
      </c>
      <c r="R64" s="8" t="inlineStr">
        <is>
          <t>Steady - every new salon fit-out</t>
        </is>
      </c>
      <c r="S64" s="8" t="inlineStr">
        <is>
          <t>None on Daraz - open field</t>
        </is>
      </c>
      <c r="T64" s="15">
        <f>IF(E64="Profit",1,IF(O64&gt;2500,2,3))</f>
        <v/>
      </c>
      <c r="U64" s="8" t="inlineStr">
        <is>
          <t>Payback maths on camera: chair cost vs monthly chair revenue</t>
        </is>
      </c>
      <c r="V64" s="8" t="inlineStr">
        <is>
          <t>No Daraz Nepal listing found. Price set from landed cost + target margin. You set the anchor here.</t>
        </is>
      </c>
      <c r="W64" s="16">
        <f>IFERROR(ROUND(MIN(10,O64/1500)*IF(E64="Profit",1.4,1),2),"")</f>
        <v/>
      </c>
    </row>
    <row r="65" ht="30" customHeight="1">
      <c r="A65" s="10" t="inlineStr">
        <is>
          <t>ETP-061</t>
        </is>
      </c>
      <c r="B65" s="8" t="inlineStr">
        <is>
          <t>PETHE HAIR SERVICE TROLLEY</t>
        </is>
      </c>
      <c r="C65" s="10" t="inlineStr">
        <is>
          <t>Ikonic</t>
        </is>
      </c>
      <c r="D65" s="10" t="inlineStr">
        <is>
          <t>Salon Furniture &amp; Equipment</t>
        </is>
      </c>
      <c r="E65" s="10" t="inlineStr">
        <is>
          <t>Profit</t>
        </is>
      </c>
      <c r="F65" s="10" t="inlineStr">
        <is>
          <t>B2B</t>
        </is>
      </c>
      <c r="G65" s="8" t="inlineStr">
        <is>
          <t>Salon / parlour owner fitting or upgrading a floor</t>
        </is>
      </c>
      <c r="H65" s="11" t="n">
        <v>4800</v>
      </c>
      <c r="I65" s="11" t="n">
        <v>6000</v>
      </c>
      <c r="J65" s="11" t="n"/>
      <c r="K65" s="12" t="inlineStr">
        <is>
          <t>NO-NEPAL-LISTING</t>
        </is>
      </c>
      <c r="L65" s="13">
        <f>IF(J65&gt;0,J65,ROUND(P65/(1-M65),-1))</f>
        <v/>
      </c>
      <c r="M65" s="14" t="n">
        <v>0.5</v>
      </c>
      <c r="N65" s="13">
        <f>ROUND(L65*(1-M65),0)</f>
        <v/>
      </c>
      <c r="O65" s="13">
        <f>L65-N65</f>
        <v/>
      </c>
      <c r="P65" s="13">
        <f>IF(H65&gt;0,ROUND(H65*(1-IF(E65="Profit",DIST_FURN,DIST_TOOL))*FX_PEG*LANDED_MULT,0),"")</f>
        <v/>
      </c>
      <c r="Q65" s="8" t="inlineStr">
        <is>
          <t>https://www.ikonicworld.com/products/pethe-hair-service-trolley</t>
        </is>
      </c>
      <c r="R65" s="8" t="inlineStr">
        <is>
          <t>Steady - every new salon fit-out</t>
        </is>
      </c>
      <c r="S65" s="8" t="inlineStr">
        <is>
          <t>None on Daraz - open field</t>
        </is>
      </c>
      <c r="T65" s="15">
        <f>IF(E65="Profit",1,IF(O65&gt;2500,2,3))</f>
        <v/>
      </c>
      <c r="U65" s="8" t="inlineStr">
        <is>
          <t>Payback maths on camera: chair cost vs monthly chair revenue</t>
        </is>
      </c>
      <c r="V65" s="8" t="inlineStr">
        <is>
          <t>No Daraz Nepal listing found. Price set from landed cost + target margin. You set the anchor here.</t>
        </is>
      </c>
      <c r="W65" s="16">
        <f>IFERROR(ROUND(MIN(10,O65/1500)*IF(E65="Profit",1.4,1),2),"")</f>
        <v/>
      </c>
    </row>
    <row r="66" ht="30" customHeight="1">
      <c r="A66" s="10" t="inlineStr">
        <is>
          <t>ETP-062</t>
        </is>
      </c>
      <c r="B66" s="8" t="inlineStr">
        <is>
          <t>NEN 360 DEGREE ROTATING TRAY</t>
        </is>
      </c>
      <c r="C66" s="10" t="inlineStr">
        <is>
          <t>Ikonic</t>
        </is>
      </c>
      <c r="D66" s="10" t="inlineStr">
        <is>
          <t>Salon Furniture &amp; Equipment</t>
        </is>
      </c>
      <c r="E66" s="10" t="inlineStr">
        <is>
          <t>Profit</t>
        </is>
      </c>
      <c r="F66" s="10" t="inlineStr">
        <is>
          <t>B2B</t>
        </is>
      </c>
      <c r="G66" s="8" t="inlineStr">
        <is>
          <t>Salon / parlour owner fitting or upgrading a floor</t>
        </is>
      </c>
      <c r="H66" s="11" t="n">
        <v>4400</v>
      </c>
      <c r="I66" s="11" t="n">
        <v>5500</v>
      </c>
      <c r="J66" s="11" t="n"/>
      <c r="K66" s="12" t="inlineStr">
        <is>
          <t>NO-NEPAL-LISTING</t>
        </is>
      </c>
      <c r="L66" s="13">
        <f>IF(J66&gt;0,J66,ROUND(P66/(1-M66),-1))</f>
        <v/>
      </c>
      <c r="M66" s="14" t="n">
        <v>0.5</v>
      </c>
      <c r="N66" s="13">
        <f>ROUND(L66*(1-M66),0)</f>
        <v/>
      </c>
      <c r="O66" s="13">
        <f>L66-N66</f>
        <v/>
      </c>
      <c r="P66" s="13">
        <f>IF(H66&gt;0,ROUND(H66*(1-IF(E66="Profit",DIST_FURN,DIST_TOOL))*FX_PEG*LANDED_MULT,0),"")</f>
        <v/>
      </c>
      <c r="Q66" s="8" t="inlineStr">
        <is>
          <t>https://www.ikonicworld.com/products/nen-360-degree-rotating-tray</t>
        </is>
      </c>
      <c r="R66" s="8" t="inlineStr">
        <is>
          <t>Steady - every new salon fit-out</t>
        </is>
      </c>
      <c r="S66" s="8" t="inlineStr">
        <is>
          <t>None on Daraz - open field</t>
        </is>
      </c>
      <c r="T66" s="15">
        <f>IF(E66="Profit",1,IF(O66&gt;2500,2,3))</f>
        <v/>
      </c>
      <c r="U66" s="8" t="inlineStr">
        <is>
          <t>Payback maths on camera: chair cost vs monthly chair revenue</t>
        </is>
      </c>
      <c r="V66" s="8" t="inlineStr">
        <is>
          <t>No Daraz Nepal listing found. Price set from landed cost + target margin. You set the anchor here.</t>
        </is>
      </c>
      <c r="W66" s="16">
        <f>IFERROR(ROUND(MIN(10,O66/1500)*IF(E66="Profit",1.4,1),2),"")</f>
        <v/>
      </c>
    </row>
    <row r="67" ht="30" customHeight="1">
      <c r="A67" s="10" t="inlineStr">
        <is>
          <t>ETP-063</t>
        </is>
      </c>
      <c r="B67" s="8" t="inlineStr">
        <is>
          <t>Ikonic Pedicure Stool Emma</t>
        </is>
      </c>
      <c r="C67" s="10" t="inlineStr">
        <is>
          <t>Ikonic</t>
        </is>
      </c>
      <c r="D67" s="10" t="inlineStr">
        <is>
          <t>Salon Furniture &amp; Equipment</t>
        </is>
      </c>
      <c r="E67" s="10" t="inlineStr">
        <is>
          <t>Profit</t>
        </is>
      </c>
      <c r="F67" s="10" t="inlineStr">
        <is>
          <t>B2B</t>
        </is>
      </c>
      <c r="G67" s="8" t="inlineStr">
        <is>
          <t>Salon / parlour owner fitting or upgrading a floor</t>
        </is>
      </c>
      <c r="H67" s="11" t="n">
        <v>4000</v>
      </c>
      <c r="I67" s="11" t="n">
        <v>5000</v>
      </c>
      <c r="J67" s="11" t="n"/>
      <c r="K67" s="12" t="inlineStr">
        <is>
          <t>NO-NEPAL-LISTING</t>
        </is>
      </c>
      <c r="L67" s="13">
        <f>IF(J67&gt;0,J67,ROUND(P67/(1-M67),-1))</f>
        <v/>
      </c>
      <c r="M67" s="14" t="n">
        <v>0.5</v>
      </c>
      <c r="N67" s="13">
        <f>ROUND(L67*(1-M67),0)</f>
        <v/>
      </c>
      <c r="O67" s="13">
        <f>L67-N67</f>
        <v/>
      </c>
      <c r="P67" s="13">
        <f>IF(H67&gt;0,ROUND(H67*(1-IF(E67="Profit",DIST_FURN,DIST_TOOL))*FX_PEG*LANDED_MULT,0),"")</f>
        <v/>
      </c>
      <c r="Q67" s="8" t="inlineStr">
        <is>
          <t>https://www.ikonicworld.com/products/emma-pedi-stool</t>
        </is>
      </c>
      <c r="R67" s="8" t="inlineStr">
        <is>
          <t>Steady - every new salon fit-out</t>
        </is>
      </c>
      <c r="S67" s="8" t="inlineStr">
        <is>
          <t>None on Daraz - open field</t>
        </is>
      </c>
      <c r="T67" s="15">
        <f>IF(E67="Profit",1,IF(O67&gt;2500,2,3))</f>
        <v/>
      </c>
      <c r="U67" s="8" t="inlineStr">
        <is>
          <t>Payback maths on camera: chair cost vs monthly chair revenue</t>
        </is>
      </c>
      <c r="V67" s="8" t="inlineStr">
        <is>
          <t>No Daraz Nepal listing found. Price set from landed cost + target margin. You set the anchor here.</t>
        </is>
      </c>
      <c r="W67" s="16">
        <f>IFERROR(ROUND(MIN(10,O67/1500)*IF(E67="Profit",1.4,1),2),"")</f>
        <v/>
      </c>
    </row>
    <row r="68" ht="30" customHeight="1">
      <c r="A68" s="10" t="inlineStr">
        <is>
          <t>ETP-064</t>
        </is>
      </c>
      <c r="B68" s="8" t="inlineStr">
        <is>
          <t>IKONIC FOOT REST BIG</t>
        </is>
      </c>
      <c r="C68" s="10" t="inlineStr">
        <is>
          <t>Ikonic</t>
        </is>
      </c>
      <c r="D68" s="10" t="inlineStr">
        <is>
          <t>Salon Furniture &amp; Equipment</t>
        </is>
      </c>
      <c r="E68" s="10" t="inlineStr">
        <is>
          <t>Profit</t>
        </is>
      </c>
      <c r="F68" s="10" t="inlineStr">
        <is>
          <t>B2B</t>
        </is>
      </c>
      <c r="G68" s="8" t="inlineStr">
        <is>
          <t>Salon / parlour owner fitting or upgrading a floor</t>
        </is>
      </c>
      <c r="H68" s="11" t="n">
        <v>3600</v>
      </c>
      <c r="I68" s="11" t="n">
        <v>4500</v>
      </c>
      <c r="J68" s="11" t="n"/>
      <c r="K68" s="12" t="inlineStr">
        <is>
          <t>NO-NEPAL-LISTING</t>
        </is>
      </c>
      <c r="L68" s="13">
        <f>IF(J68&gt;0,J68,ROUND(P68/(1-M68),-1))</f>
        <v/>
      </c>
      <c r="M68" s="14" t="n">
        <v>0.5</v>
      </c>
      <c r="N68" s="13">
        <f>ROUND(L68*(1-M68),0)</f>
        <v/>
      </c>
      <c r="O68" s="13">
        <f>L68-N68</f>
        <v/>
      </c>
      <c r="P68" s="13">
        <f>IF(H68&gt;0,ROUND(H68*(1-IF(E68="Profit",DIST_FURN,DIST_TOOL))*FX_PEG*LANDED_MULT,0),"")</f>
        <v/>
      </c>
      <c r="Q68" s="8" t="inlineStr">
        <is>
          <t>https://www.ikonicworld.com/products/ikonic-foot-rest-big</t>
        </is>
      </c>
      <c r="R68" s="8" t="inlineStr">
        <is>
          <t>Steady - every new salon fit-out</t>
        </is>
      </c>
      <c r="S68" s="8" t="inlineStr">
        <is>
          <t>None on Daraz - open field</t>
        </is>
      </c>
      <c r="T68" s="15">
        <f>IF(E68="Profit",1,IF(O68&gt;2500,2,3))</f>
        <v/>
      </c>
      <c r="U68" s="8" t="inlineStr">
        <is>
          <t>Payback maths on camera: chair cost vs monthly chair revenue</t>
        </is>
      </c>
      <c r="V68" s="8" t="inlineStr">
        <is>
          <t>No Daraz Nepal listing found. Price set from landed cost + target margin. You set the anchor here.</t>
        </is>
      </c>
      <c r="W68" s="16">
        <f>IFERROR(ROUND(MIN(10,O68/1500)*IF(E68="Profit",1.4,1),2),"")</f>
        <v/>
      </c>
    </row>
    <row r="69" ht="30" customHeight="1">
      <c r="A69" s="10" t="inlineStr">
        <is>
          <t>ETP-065</t>
        </is>
      </c>
      <c r="B69" s="8" t="inlineStr">
        <is>
          <t>Ikonic Me 3 in 1 Facial Steamer with Nano Ionic Technology, White</t>
        </is>
      </c>
      <c r="C69" s="10" t="inlineStr">
        <is>
          <t>Ikonic</t>
        </is>
      </c>
      <c r="D69" s="10" t="inlineStr">
        <is>
          <t>Salon Furniture &amp; Equipment</t>
        </is>
      </c>
      <c r="E69" s="10" t="inlineStr">
        <is>
          <t>Profit</t>
        </is>
      </c>
      <c r="F69" s="10" t="inlineStr">
        <is>
          <t>B2B</t>
        </is>
      </c>
      <c r="G69" s="8" t="inlineStr">
        <is>
          <t>Salon / parlour owner fitting or upgrading a floor</t>
        </is>
      </c>
      <c r="H69" s="11" t="n">
        <v>2665</v>
      </c>
      <c r="I69" s="11" t="n">
        <v>4100</v>
      </c>
      <c r="J69" s="11" t="n"/>
      <c r="K69" s="12" t="inlineStr">
        <is>
          <t>NO-NEPAL-LISTING</t>
        </is>
      </c>
      <c r="L69" s="13">
        <f>IF(J69&gt;0,J69,ROUND(P69/(1-M69),-1))</f>
        <v/>
      </c>
      <c r="M69" s="14" t="n">
        <v>0.5</v>
      </c>
      <c r="N69" s="13">
        <f>ROUND(L69*(1-M69),0)</f>
        <v/>
      </c>
      <c r="O69" s="13">
        <f>L69-N69</f>
        <v/>
      </c>
      <c r="P69" s="13">
        <f>IF(H69&gt;0,ROUND(H69*(1-IF(E69="Profit",DIST_FURN,DIST_TOOL))*FX_PEG*LANDED_MULT,0),"")</f>
        <v/>
      </c>
      <c r="Q69" s="8" t="inlineStr">
        <is>
          <t>https://www.ikonicworld.com/products/ikonic-me-3in1-facial-steamer</t>
        </is>
      </c>
      <c r="R69" s="8" t="inlineStr">
        <is>
          <t>Steady - every new salon fit-out</t>
        </is>
      </c>
      <c r="S69" s="8" t="inlineStr">
        <is>
          <t>None on Daraz - open field</t>
        </is>
      </c>
      <c r="T69" s="15">
        <f>IF(E69="Profit",1,IF(O69&gt;2500,2,3))</f>
        <v/>
      </c>
      <c r="U69" s="8" t="inlineStr">
        <is>
          <t>Payback maths on camera: chair cost vs monthly chair revenue</t>
        </is>
      </c>
      <c r="V69" s="8" t="inlineStr">
        <is>
          <t>No Daraz Nepal listing found. Price set from landed cost + target margin. You set the anchor here.</t>
        </is>
      </c>
      <c r="W69" s="16">
        <f>IFERROR(ROUND(MIN(10,O69/1500)*IF(E69="Profit",1.4,1),2),"")</f>
        <v/>
      </c>
    </row>
    <row r="70" ht="30" customHeight="1">
      <c r="A70" s="10" t="inlineStr">
        <is>
          <t>ETP-066</t>
        </is>
      </c>
      <c r="B70" s="8" t="inlineStr">
        <is>
          <t>SMALL FOOT REST</t>
        </is>
      </c>
      <c r="C70" s="10" t="inlineStr">
        <is>
          <t>Ikonic</t>
        </is>
      </c>
      <c r="D70" s="10" t="inlineStr">
        <is>
          <t>Salon Furniture &amp; Equipment</t>
        </is>
      </c>
      <c r="E70" s="10" t="inlineStr">
        <is>
          <t>Profit</t>
        </is>
      </c>
      <c r="F70" s="10" t="inlineStr">
        <is>
          <t>B2B</t>
        </is>
      </c>
      <c r="G70" s="8" t="inlineStr">
        <is>
          <t>Salon / parlour owner fitting or upgrading a floor</t>
        </is>
      </c>
      <c r="H70" s="11" t="n">
        <v>1500</v>
      </c>
      <c r="I70" s="11" t="n">
        <v>1500</v>
      </c>
      <c r="J70" s="11" t="n"/>
      <c r="K70" s="12" t="inlineStr">
        <is>
          <t>NO-NEPAL-LISTING</t>
        </is>
      </c>
      <c r="L70" s="13">
        <f>IF(J70&gt;0,J70,ROUND(P70/(1-M70),-1))</f>
        <v/>
      </c>
      <c r="M70" s="14" t="n">
        <v>0.5</v>
      </c>
      <c r="N70" s="13">
        <f>ROUND(L70*(1-M70),0)</f>
        <v/>
      </c>
      <c r="O70" s="13">
        <f>L70-N70</f>
        <v/>
      </c>
      <c r="P70" s="13">
        <f>IF(H70&gt;0,ROUND(H70*(1-IF(E70="Profit",DIST_FURN,DIST_TOOL))*FX_PEG*LANDED_MULT,0),"")</f>
        <v/>
      </c>
      <c r="Q70" s="8" t="inlineStr">
        <is>
          <t>https://www.ikonicworld.com/products/small-foot-rest-gold</t>
        </is>
      </c>
      <c r="R70" s="8" t="inlineStr">
        <is>
          <t>Steady - every new salon fit-out</t>
        </is>
      </c>
      <c r="S70" s="8" t="inlineStr">
        <is>
          <t>None on Daraz - open field</t>
        </is>
      </c>
      <c r="T70" s="15">
        <f>IF(E70="Profit",1,IF(O70&gt;2500,2,3))</f>
        <v/>
      </c>
      <c r="U70" s="8" t="inlineStr">
        <is>
          <t>Payback maths on camera: chair cost vs monthly chair revenue</t>
        </is>
      </c>
      <c r="V70" s="8" t="inlineStr">
        <is>
          <t>No Daraz Nepal listing found. Price set from landed cost + target margin. You set the anchor here.</t>
        </is>
      </c>
      <c r="W70" s="16">
        <f>IFERROR(ROUND(MIN(10,O70/1500)*IF(E70="Profit",1.4,1),2),"")</f>
        <v/>
      </c>
    </row>
    <row r="71" ht="30" customHeight="1">
      <c r="A71" s="10" t="inlineStr">
        <is>
          <t>ETP-067</t>
        </is>
      </c>
      <c r="B71" s="8" t="inlineStr">
        <is>
          <t>Silky India .05 Ampules for Hairfall Control (10 x 10ml)</t>
        </is>
      </c>
      <c r="C71" s="10" t="inlineStr">
        <is>
          <t>Ikonic</t>
        </is>
      </c>
      <c r="D71" s="10" t="inlineStr">
        <is>
          <t>Salon Consumables</t>
        </is>
      </c>
      <c r="E71" s="10" t="inlineStr">
        <is>
          <t>Attach</t>
        </is>
      </c>
      <c r="F71" s="10" t="inlineStr">
        <is>
          <t>BOTH</t>
        </is>
      </c>
      <c r="G71" s="8" t="inlineStr">
        <is>
          <t>Salon that reorders every month, not every year</t>
        </is>
      </c>
      <c r="H71" s="11" t="n">
        <v>2499</v>
      </c>
      <c r="I71" s="11" t="n"/>
      <c r="J71" s="11" t="n"/>
      <c r="K71" s="17" t="inlineStr">
        <is>
          <t>CONFIRM-BRAND</t>
        </is>
      </c>
      <c r="L71" s="13">
        <f>IF(J71&gt;0,J71,ROUND(P71/(1-M71),-1))</f>
        <v/>
      </c>
      <c r="M71" s="14" t="n">
        <v>0.4</v>
      </c>
      <c r="N71" s="13">
        <f>ROUND(L71*(1-M71),0)</f>
        <v/>
      </c>
      <c r="O71" s="13">
        <f>L71-N71</f>
        <v/>
      </c>
      <c r="P71" s="13">
        <f>IF(H71&gt;0,ROUND(H71*(1-IF(E71="Profit",DIST_FURN,DIST_TOOL))*FX_PEG*LANDED_MULT,0),"")</f>
        <v/>
      </c>
      <c r="Q71" s="8" t="inlineStr">
        <is>
          <t>https://www.silkyhairindia.com/products.json</t>
        </is>
      </c>
      <c r="R71" s="8" t="inlineStr">
        <is>
          <t>Low volume, high attach rate</t>
        </is>
      </c>
      <c r="S71" s="8" t="inlineStr">
        <is>
          <t>Low - rarely searched directly</t>
        </is>
      </c>
      <c r="T71" s="15">
        <f>IF(E71="Profit",1,IF(O71&gt;2500,2,3))</f>
        <v/>
      </c>
      <c r="U71" s="8" t="inlineStr">
        <is>
          <t>Stylist demo: result after one wash; monthly reorder reminder</t>
        </is>
      </c>
      <c r="V71" s="8" t="inlineStr">
        <is>
          <t>Silky India (silkyhairindia.com) salon-professional range - the closest match to the "Silk Hair" you named. CONFIRM this is your brand before ordering. Consumables reorder monthly, which is what your salon accounts are missing.</t>
        </is>
      </c>
      <c r="W71" s="16">
        <f>IFERROR(ROUND(MIN(10,O71/1500)*IF(E71="Profit",1.4,1),2),"")</f>
        <v/>
      </c>
    </row>
    <row r="72" ht="30" customHeight="1">
      <c r="A72" s="10" t="inlineStr">
        <is>
          <t>ETP-068</t>
        </is>
      </c>
      <c r="B72" s="8" t="inlineStr">
        <is>
          <t>Silky India .06 X-Trim Anti-Dandruff Ampules (10 x 10ml)</t>
        </is>
      </c>
      <c r="C72" s="10" t="inlineStr">
        <is>
          <t>Ikonic</t>
        </is>
      </c>
      <c r="D72" s="10" t="inlineStr">
        <is>
          <t>Salon Consumables</t>
        </is>
      </c>
      <c r="E72" s="10" t="inlineStr">
        <is>
          <t>Attach</t>
        </is>
      </c>
      <c r="F72" s="10" t="inlineStr">
        <is>
          <t>BOTH</t>
        </is>
      </c>
      <c r="G72" s="8" t="inlineStr">
        <is>
          <t>Salon that reorders every month, not every year</t>
        </is>
      </c>
      <c r="H72" s="11" t="n">
        <v>2499</v>
      </c>
      <c r="I72" s="11" t="n"/>
      <c r="J72" s="11" t="n"/>
      <c r="K72" s="17" t="inlineStr">
        <is>
          <t>CONFIRM-BRAND</t>
        </is>
      </c>
      <c r="L72" s="13">
        <f>IF(J72&gt;0,J72,ROUND(P72/(1-M72),-1))</f>
        <v/>
      </c>
      <c r="M72" s="14" t="n">
        <v>0.4</v>
      </c>
      <c r="N72" s="13">
        <f>ROUND(L72*(1-M72),0)</f>
        <v/>
      </c>
      <c r="O72" s="13">
        <f>L72-N72</f>
        <v/>
      </c>
      <c r="P72" s="13">
        <f>IF(H72&gt;0,ROUND(H72*(1-IF(E72="Profit",DIST_FURN,DIST_TOOL))*FX_PEG*LANDED_MULT,0),"")</f>
        <v/>
      </c>
      <c r="Q72" s="8" t="inlineStr">
        <is>
          <t>https://www.silkyhairindia.com/products.json</t>
        </is>
      </c>
      <c r="R72" s="8" t="inlineStr">
        <is>
          <t>Low volume, high attach rate</t>
        </is>
      </c>
      <c r="S72" s="8" t="inlineStr">
        <is>
          <t>Low - rarely searched directly</t>
        </is>
      </c>
      <c r="T72" s="15">
        <f>IF(E72="Profit",1,IF(O72&gt;2500,2,3))</f>
        <v/>
      </c>
      <c r="U72" s="8" t="inlineStr">
        <is>
          <t>Stylist demo: result after one wash; monthly reorder reminder</t>
        </is>
      </c>
      <c r="V72" s="8" t="inlineStr">
        <is>
          <t>Silky India (silkyhairindia.com) salon-professional range - the closest match to the "Silk Hair" you named. CONFIRM this is your brand before ordering. Consumables reorder monthly, which is what your salon accounts are missing.</t>
        </is>
      </c>
      <c r="W72" s="16">
        <f>IFERROR(ROUND(MIN(10,O72/1500)*IF(E72="Profit",1.4,1),2),"")</f>
        <v/>
      </c>
    </row>
    <row r="73" ht="30" customHeight="1">
      <c r="A73" s="10" t="inlineStr">
        <is>
          <t>ETP-069</t>
        </is>
      </c>
      <c r="B73" s="8" t="inlineStr">
        <is>
          <t>Silky India .07 Sebotherapy Oil Control Ampules (10 x 10ml)</t>
        </is>
      </c>
      <c r="C73" s="10" t="inlineStr">
        <is>
          <t>Ikonic</t>
        </is>
      </c>
      <c r="D73" s="10" t="inlineStr">
        <is>
          <t>Salon Consumables</t>
        </is>
      </c>
      <c r="E73" s="10" t="inlineStr">
        <is>
          <t>Attach</t>
        </is>
      </c>
      <c r="F73" s="10" t="inlineStr">
        <is>
          <t>BOTH</t>
        </is>
      </c>
      <c r="G73" s="8" t="inlineStr">
        <is>
          <t>Salon that reorders every month, not every year</t>
        </is>
      </c>
      <c r="H73" s="11" t="n">
        <v>2499</v>
      </c>
      <c r="I73" s="11" t="n"/>
      <c r="J73" s="11" t="n"/>
      <c r="K73" s="17" t="inlineStr">
        <is>
          <t>CONFIRM-BRAND</t>
        </is>
      </c>
      <c r="L73" s="13">
        <f>IF(J73&gt;0,J73,ROUND(P73/(1-M73),-1))</f>
        <v/>
      </c>
      <c r="M73" s="14" t="n">
        <v>0.4</v>
      </c>
      <c r="N73" s="13">
        <f>ROUND(L73*(1-M73),0)</f>
        <v/>
      </c>
      <c r="O73" s="13">
        <f>L73-N73</f>
        <v/>
      </c>
      <c r="P73" s="13">
        <f>IF(H73&gt;0,ROUND(H73*(1-IF(E73="Profit",DIST_FURN,DIST_TOOL))*FX_PEG*LANDED_MULT,0),"")</f>
        <v/>
      </c>
      <c r="Q73" s="8" t="inlineStr">
        <is>
          <t>https://www.silkyhairindia.com/products.json</t>
        </is>
      </c>
      <c r="R73" s="8" t="inlineStr">
        <is>
          <t>Low volume, high attach rate</t>
        </is>
      </c>
      <c r="S73" s="8" t="inlineStr">
        <is>
          <t>Low - rarely searched directly</t>
        </is>
      </c>
      <c r="T73" s="15">
        <f>IF(E73="Profit",1,IF(O73&gt;2500,2,3))</f>
        <v/>
      </c>
      <c r="U73" s="8" t="inlineStr">
        <is>
          <t>Stylist demo: result after one wash; monthly reorder reminder</t>
        </is>
      </c>
      <c r="V73" s="8" t="inlineStr">
        <is>
          <t>Silky India (silkyhairindia.com) salon-professional range - the closest match to the "Silk Hair" you named. CONFIRM this is your brand before ordering. Consumables reorder monthly, which is what your salon accounts are missing.</t>
        </is>
      </c>
      <c r="W73" s="16">
        <f>IFERROR(ROUND(MIN(10,O73/1500)*IF(E73="Profit",1.4,1),2),"")</f>
        <v/>
      </c>
    </row>
    <row r="74" ht="30" customHeight="1">
      <c r="A74" s="10" t="inlineStr">
        <is>
          <t>ETP-070</t>
        </is>
      </c>
      <c r="B74" s="8" t="inlineStr">
        <is>
          <t>Silky India .02 Color Care Linseed Drops Ampules (10 x 10ml)</t>
        </is>
      </c>
      <c r="C74" s="10" t="inlineStr">
        <is>
          <t>Ikonic</t>
        </is>
      </c>
      <c r="D74" s="10" t="inlineStr">
        <is>
          <t>Salon Consumables</t>
        </is>
      </c>
      <c r="E74" s="10" t="inlineStr">
        <is>
          <t>Attach</t>
        </is>
      </c>
      <c r="F74" s="10" t="inlineStr">
        <is>
          <t>BOTH</t>
        </is>
      </c>
      <c r="G74" s="8" t="inlineStr">
        <is>
          <t>Salon that reorders every month, not every year</t>
        </is>
      </c>
      <c r="H74" s="11" t="n">
        <v>2299</v>
      </c>
      <c r="I74" s="11" t="n"/>
      <c r="J74" s="11" t="n"/>
      <c r="K74" s="17" t="inlineStr">
        <is>
          <t>CONFIRM-BRAND</t>
        </is>
      </c>
      <c r="L74" s="13">
        <f>IF(J74&gt;0,J74,ROUND(P74/(1-M74),-1))</f>
        <v/>
      </c>
      <c r="M74" s="14" t="n">
        <v>0.4</v>
      </c>
      <c r="N74" s="13">
        <f>ROUND(L74*(1-M74),0)</f>
        <v/>
      </c>
      <c r="O74" s="13">
        <f>L74-N74</f>
        <v/>
      </c>
      <c r="P74" s="13">
        <f>IF(H74&gt;0,ROUND(H74*(1-IF(E74="Profit",DIST_FURN,DIST_TOOL))*FX_PEG*LANDED_MULT,0),"")</f>
        <v/>
      </c>
      <c r="Q74" s="8" t="inlineStr">
        <is>
          <t>https://www.silkyhairindia.com/products.json</t>
        </is>
      </c>
      <c r="R74" s="8" t="inlineStr">
        <is>
          <t>Low volume, high attach rate</t>
        </is>
      </c>
      <c r="S74" s="8" t="inlineStr">
        <is>
          <t>Low - rarely searched directly</t>
        </is>
      </c>
      <c r="T74" s="15">
        <f>IF(E74="Profit",1,IF(O74&gt;2500,2,3))</f>
        <v/>
      </c>
      <c r="U74" s="8" t="inlineStr">
        <is>
          <t>Stylist demo: result after one wash; monthly reorder reminder</t>
        </is>
      </c>
      <c r="V74" s="8" t="inlineStr">
        <is>
          <t>Silky India (silkyhairindia.com) salon-professional range - the closest match to the "Silk Hair" you named. CONFIRM this is your brand before ordering. Consumables reorder monthly, which is what your salon accounts are missing.</t>
        </is>
      </c>
      <c r="W74" s="16">
        <f>IFERROR(ROUND(MIN(10,O74/1500)*IF(E74="Profit",1.4,1),2),"")</f>
        <v/>
      </c>
    </row>
    <row r="75" ht="30" customHeight="1">
      <c r="A75" s="10" t="inlineStr">
        <is>
          <t>ETP-071</t>
        </is>
      </c>
      <c r="B75" s="8" t="inlineStr">
        <is>
          <t>Silky India .03 Daily Care Oil Wash Ampules (10 x 10ml)</t>
        </is>
      </c>
      <c r="C75" s="10" t="inlineStr">
        <is>
          <t>Ikonic</t>
        </is>
      </c>
      <c r="D75" s="10" t="inlineStr">
        <is>
          <t>Salon Consumables</t>
        </is>
      </c>
      <c r="E75" s="10" t="inlineStr">
        <is>
          <t>Attach</t>
        </is>
      </c>
      <c r="F75" s="10" t="inlineStr">
        <is>
          <t>BOTH</t>
        </is>
      </c>
      <c r="G75" s="8" t="inlineStr">
        <is>
          <t>Salon that reorders every month, not every year</t>
        </is>
      </c>
      <c r="H75" s="11" t="n">
        <v>2299</v>
      </c>
      <c r="I75" s="11" t="n"/>
      <c r="J75" s="11" t="n"/>
      <c r="K75" s="17" t="inlineStr">
        <is>
          <t>CONFIRM-BRAND</t>
        </is>
      </c>
      <c r="L75" s="13">
        <f>IF(J75&gt;0,J75,ROUND(P75/(1-M75),-1))</f>
        <v/>
      </c>
      <c r="M75" s="14" t="n">
        <v>0.4</v>
      </c>
      <c r="N75" s="13">
        <f>ROUND(L75*(1-M75),0)</f>
        <v/>
      </c>
      <c r="O75" s="13">
        <f>L75-N75</f>
        <v/>
      </c>
      <c r="P75" s="13">
        <f>IF(H75&gt;0,ROUND(H75*(1-IF(E75="Profit",DIST_FURN,DIST_TOOL))*FX_PEG*LANDED_MULT,0),"")</f>
        <v/>
      </c>
      <c r="Q75" s="8" t="inlineStr">
        <is>
          <t>https://www.silkyhairindia.com/products.json</t>
        </is>
      </c>
      <c r="R75" s="8" t="inlineStr">
        <is>
          <t>Low volume, high attach rate</t>
        </is>
      </c>
      <c r="S75" s="8" t="inlineStr">
        <is>
          <t>Low - rarely searched directly</t>
        </is>
      </c>
      <c r="T75" s="15">
        <f>IF(E75="Profit",1,IF(O75&gt;2500,2,3))</f>
        <v/>
      </c>
      <c r="U75" s="8" t="inlineStr">
        <is>
          <t>Stylist demo: result after one wash; monthly reorder reminder</t>
        </is>
      </c>
      <c r="V75" s="8" t="inlineStr">
        <is>
          <t>Silky India (silkyhairindia.com) salon-professional range - the closest match to the "Silk Hair" you named. CONFIRM this is your brand before ordering. Consumables reorder monthly, which is what your salon accounts are missing.</t>
        </is>
      </c>
      <c r="W75" s="16">
        <f>IFERROR(ROUND(MIN(10,O75/1500)*IF(E75="Profit",1.4,1),2),"")</f>
        <v/>
      </c>
    </row>
    <row r="76" ht="30" customHeight="1">
      <c r="A76" s="10" t="inlineStr">
        <is>
          <t>ETP-072</t>
        </is>
      </c>
      <c r="B76" s="8" t="inlineStr">
        <is>
          <t>Silky India Ylang Feel Good Serum</t>
        </is>
      </c>
      <c r="C76" s="10" t="inlineStr">
        <is>
          <t>Ikonic</t>
        </is>
      </c>
      <c r="D76" s="10" t="inlineStr">
        <is>
          <t>Salon Consumables</t>
        </is>
      </c>
      <c r="E76" s="10" t="inlineStr">
        <is>
          <t>Attach</t>
        </is>
      </c>
      <c r="F76" s="10" t="inlineStr">
        <is>
          <t>BOTH</t>
        </is>
      </c>
      <c r="G76" s="8" t="inlineStr">
        <is>
          <t>Salon that reorders every month, not every year</t>
        </is>
      </c>
      <c r="H76" s="11" t="n">
        <v>2199</v>
      </c>
      <c r="I76" s="11" t="n"/>
      <c r="J76" s="11" t="n"/>
      <c r="K76" s="17" t="inlineStr">
        <is>
          <t>CONFIRM-BRAND</t>
        </is>
      </c>
      <c r="L76" s="13">
        <f>IF(J76&gt;0,J76,ROUND(P76/(1-M76),-1))</f>
        <v/>
      </c>
      <c r="M76" s="14" t="n">
        <v>0.4</v>
      </c>
      <c r="N76" s="13">
        <f>ROUND(L76*(1-M76),0)</f>
        <v/>
      </c>
      <c r="O76" s="13">
        <f>L76-N76</f>
        <v/>
      </c>
      <c r="P76" s="13">
        <f>IF(H76&gt;0,ROUND(H76*(1-IF(E76="Profit",DIST_FURN,DIST_TOOL))*FX_PEG*LANDED_MULT,0),"")</f>
        <v/>
      </c>
      <c r="Q76" s="8" t="inlineStr">
        <is>
          <t>https://www.silkyhairindia.com/products.json</t>
        </is>
      </c>
      <c r="R76" s="8" t="inlineStr">
        <is>
          <t>Low volume, high attach rate</t>
        </is>
      </c>
      <c r="S76" s="8" t="inlineStr">
        <is>
          <t>Low - rarely searched directly</t>
        </is>
      </c>
      <c r="T76" s="15">
        <f>IF(E76="Profit",1,IF(O76&gt;2500,2,3))</f>
        <v/>
      </c>
      <c r="U76" s="8" t="inlineStr">
        <is>
          <t>Stylist demo: result after one wash; monthly reorder reminder</t>
        </is>
      </c>
      <c r="V76" s="8" t="inlineStr">
        <is>
          <t>Silky India (silkyhairindia.com) salon-professional range - the closest match to the "Silk Hair" you named. CONFIRM this is your brand before ordering. Consumables reorder monthly, which is what your salon accounts are missing.</t>
        </is>
      </c>
      <c r="W76" s="16">
        <f>IFERROR(ROUND(MIN(10,O76/1500)*IF(E76="Profit",1.4,1),2),"")</f>
        <v/>
      </c>
    </row>
    <row r="77" ht="30" customHeight="1">
      <c r="A77" s="10" t="inlineStr">
        <is>
          <t>ETP-073</t>
        </is>
      </c>
      <c r="B77" s="8" t="inlineStr">
        <is>
          <t>Silky India .04 Hair Repair Intensive Oil of Argan (100ml)</t>
        </is>
      </c>
      <c r="C77" s="10" t="inlineStr">
        <is>
          <t>Ikonic</t>
        </is>
      </c>
      <c r="D77" s="10" t="inlineStr">
        <is>
          <t>Salon Consumables</t>
        </is>
      </c>
      <c r="E77" s="10" t="inlineStr">
        <is>
          <t>Attach</t>
        </is>
      </c>
      <c r="F77" s="10" t="inlineStr">
        <is>
          <t>BOTH</t>
        </is>
      </c>
      <c r="G77" s="8" t="inlineStr">
        <is>
          <t>Salon that reorders every month, not every year</t>
        </is>
      </c>
      <c r="H77" s="11" t="n">
        <v>1999</v>
      </c>
      <c r="I77" s="11" t="n"/>
      <c r="J77" s="11" t="n"/>
      <c r="K77" s="17" t="inlineStr">
        <is>
          <t>CONFIRM-BRAND</t>
        </is>
      </c>
      <c r="L77" s="13">
        <f>IF(J77&gt;0,J77,ROUND(P77/(1-M77),-1))</f>
        <v/>
      </c>
      <c r="M77" s="14" t="n">
        <v>0.4</v>
      </c>
      <c r="N77" s="13">
        <f>ROUND(L77*(1-M77),0)</f>
        <v/>
      </c>
      <c r="O77" s="13">
        <f>L77-N77</f>
        <v/>
      </c>
      <c r="P77" s="13">
        <f>IF(H77&gt;0,ROUND(H77*(1-IF(E77="Profit",DIST_FURN,DIST_TOOL))*FX_PEG*LANDED_MULT,0),"")</f>
        <v/>
      </c>
      <c r="Q77" s="8" t="inlineStr">
        <is>
          <t>https://www.silkyhairindia.com/products.json</t>
        </is>
      </c>
      <c r="R77" s="8" t="inlineStr">
        <is>
          <t>Low volume, high attach rate</t>
        </is>
      </c>
      <c r="S77" s="8" t="inlineStr">
        <is>
          <t>Low - rarely searched directly</t>
        </is>
      </c>
      <c r="T77" s="15">
        <f>IF(E77="Profit",1,IF(O77&gt;2500,2,3))</f>
        <v/>
      </c>
      <c r="U77" s="8" t="inlineStr">
        <is>
          <t>Stylist demo: result after one wash; monthly reorder reminder</t>
        </is>
      </c>
      <c r="V77" s="8" t="inlineStr">
        <is>
          <t>Silky India (silkyhairindia.com) salon-professional range - the closest match to the "Silk Hair" you named. CONFIRM this is your brand before ordering. Consumables reorder monthly, which is what your salon accounts are missing.</t>
        </is>
      </c>
      <c r="W77" s="16">
        <f>IFERROR(ROUND(MIN(10,O77/1500)*IF(E77="Profit",1.4,1),2),"")</f>
        <v/>
      </c>
    </row>
    <row r="78" ht="30" customHeight="1">
      <c r="A78" s="10" t="inlineStr">
        <is>
          <t>ETP-074</t>
        </is>
      </c>
      <c r="B78" s="8" t="inlineStr">
        <is>
          <t>Silky India .02 Trilogy Hydrating Conditioner 250ml</t>
        </is>
      </c>
      <c r="C78" s="10" t="inlineStr">
        <is>
          <t>Ikonic</t>
        </is>
      </c>
      <c r="D78" s="10" t="inlineStr">
        <is>
          <t>Salon Consumables</t>
        </is>
      </c>
      <c r="E78" s="10" t="inlineStr">
        <is>
          <t>Attach</t>
        </is>
      </c>
      <c r="F78" s="10" t="inlineStr">
        <is>
          <t>BOTH</t>
        </is>
      </c>
      <c r="G78" s="8" t="inlineStr">
        <is>
          <t>Salon that reorders every month, not every year</t>
        </is>
      </c>
      <c r="H78" s="11" t="n">
        <v>1499</v>
      </c>
      <c r="I78" s="11" t="n"/>
      <c r="J78" s="11" t="n"/>
      <c r="K78" s="17" t="inlineStr">
        <is>
          <t>CONFIRM-BRAND</t>
        </is>
      </c>
      <c r="L78" s="13">
        <f>IF(J78&gt;0,J78,ROUND(P78/(1-M78),-1))</f>
        <v/>
      </c>
      <c r="M78" s="14" t="n">
        <v>0.4</v>
      </c>
      <c r="N78" s="13">
        <f>ROUND(L78*(1-M78),0)</f>
        <v/>
      </c>
      <c r="O78" s="13">
        <f>L78-N78</f>
        <v/>
      </c>
      <c r="P78" s="13">
        <f>IF(H78&gt;0,ROUND(H78*(1-IF(E78="Profit",DIST_FURN,DIST_TOOL))*FX_PEG*LANDED_MULT,0),"")</f>
        <v/>
      </c>
      <c r="Q78" s="8" t="inlineStr">
        <is>
          <t>https://www.silkyhairindia.com/products.json</t>
        </is>
      </c>
      <c r="R78" s="8" t="inlineStr">
        <is>
          <t>Low volume, high attach rate</t>
        </is>
      </c>
      <c r="S78" s="8" t="inlineStr">
        <is>
          <t>Low - rarely searched directly</t>
        </is>
      </c>
      <c r="T78" s="15">
        <f>IF(E78="Profit",1,IF(O78&gt;2500,2,3))</f>
        <v/>
      </c>
      <c r="U78" s="8" t="inlineStr">
        <is>
          <t>Stylist demo: result after one wash; monthly reorder reminder</t>
        </is>
      </c>
      <c r="V78" s="8" t="inlineStr">
        <is>
          <t>Silky India (silkyhairindia.com) salon-professional range - the closest match to the "Silk Hair" you named. CONFIRM this is your brand before ordering. Consumables reorder monthly, which is what your salon accounts are missing.</t>
        </is>
      </c>
      <c r="W78" s="16">
        <f>IFERROR(ROUND(MIN(10,O78/1500)*IF(E78="Profit",1.4,1),2),"")</f>
        <v/>
      </c>
    </row>
    <row r="79" ht="30" customHeight="1">
      <c r="A79" s="10" t="inlineStr">
        <is>
          <t>ETP-075</t>
        </is>
      </c>
      <c r="B79" s="8" t="inlineStr">
        <is>
          <t>Silky India .01 Never Orange Shampoo (200ml / 1000ml)</t>
        </is>
      </c>
      <c r="C79" s="10" t="inlineStr">
        <is>
          <t>Ikonic</t>
        </is>
      </c>
      <c r="D79" s="10" t="inlineStr">
        <is>
          <t>Salon Consumables</t>
        </is>
      </c>
      <c r="E79" s="10" t="inlineStr">
        <is>
          <t>Attach</t>
        </is>
      </c>
      <c r="F79" s="10" t="inlineStr">
        <is>
          <t>BOTH</t>
        </is>
      </c>
      <c r="G79" s="8" t="inlineStr">
        <is>
          <t>Salon that reorders every month, not every year</t>
        </is>
      </c>
      <c r="H79" s="11" t="n">
        <v>1299</v>
      </c>
      <c r="I79" s="11" t="n"/>
      <c r="J79" s="11" t="n"/>
      <c r="K79" s="17" t="inlineStr">
        <is>
          <t>CONFIRM-BRAND</t>
        </is>
      </c>
      <c r="L79" s="13">
        <f>IF(J79&gt;0,J79,ROUND(P79/(1-M79),-1))</f>
        <v/>
      </c>
      <c r="M79" s="14" t="n">
        <v>0.4</v>
      </c>
      <c r="N79" s="13">
        <f>ROUND(L79*(1-M79),0)</f>
        <v/>
      </c>
      <c r="O79" s="13">
        <f>L79-N79</f>
        <v/>
      </c>
      <c r="P79" s="13">
        <f>IF(H79&gt;0,ROUND(H79*(1-IF(E79="Profit",DIST_FURN,DIST_TOOL))*FX_PEG*LANDED_MULT,0),"")</f>
        <v/>
      </c>
      <c r="Q79" s="8" t="inlineStr">
        <is>
          <t>https://www.silkyhairindia.com/products.json</t>
        </is>
      </c>
      <c r="R79" s="8" t="inlineStr">
        <is>
          <t>Low volume, high attach rate</t>
        </is>
      </c>
      <c r="S79" s="8" t="inlineStr">
        <is>
          <t>Low - rarely searched directly</t>
        </is>
      </c>
      <c r="T79" s="15">
        <f>IF(E79="Profit",1,IF(O79&gt;2500,2,3))</f>
        <v/>
      </c>
      <c r="U79" s="8" t="inlineStr">
        <is>
          <t>Stylist demo: result after one wash; monthly reorder reminder</t>
        </is>
      </c>
      <c r="V79" s="8" t="inlineStr">
        <is>
          <t>Silky India (silkyhairindia.com) salon-professional range - the closest match to the "Silk Hair" you named. CONFIRM this is your brand before ordering. Consumables reorder monthly, which is what your salon accounts are missing.</t>
        </is>
      </c>
      <c r="W79" s="16">
        <f>IFERROR(ROUND(MIN(10,O79/1500)*IF(E79="Profit",1.4,1),2),"")</f>
        <v/>
      </c>
    </row>
    <row r="80" ht="30" customHeight="1">
      <c r="A80" s="10" t="inlineStr">
        <is>
          <t>ETP-076</t>
        </is>
      </c>
      <c r="B80" s="8" t="inlineStr">
        <is>
          <t>Silky India .01 Never Yellow Shampoo (200ml / 1000ml)</t>
        </is>
      </c>
      <c r="C80" s="10" t="inlineStr">
        <is>
          <t>Ikonic</t>
        </is>
      </c>
      <c r="D80" s="10" t="inlineStr">
        <is>
          <t>Salon Consumables</t>
        </is>
      </c>
      <c r="E80" s="10" t="inlineStr">
        <is>
          <t>Attach</t>
        </is>
      </c>
      <c r="F80" s="10" t="inlineStr">
        <is>
          <t>BOTH</t>
        </is>
      </c>
      <c r="G80" s="8" t="inlineStr">
        <is>
          <t>Salon that reorders every month, not every year</t>
        </is>
      </c>
      <c r="H80" s="11" t="n">
        <v>1299</v>
      </c>
      <c r="I80" s="11" t="n"/>
      <c r="J80" s="11" t="n"/>
      <c r="K80" s="17" t="inlineStr">
        <is>
          <t>CONFIRM-BRAND</t>
        </is>
      </c>
      <c r="L80" s="13">
        <f>IF(J80&gt;0,J80,ROUND(P80/(1-M80),-1))</f>
        <v/>
      </c>
      <c r="M80" s="14" t="n">
        <v>0.4</v>
      </c>
      <c r="N80" s="13">
        <f>ROUND(L80*(1-M80),0)</f>
        <v/>
      </c>
      <c r="O80" s="13">
        <f>L80-N80</f>
        <v/>
      </c>
      <c r="P80" s="13">
        <f>IF(H80&gt;0,ROUND(H80*(1-IF(E80="Profit",DIST_FURN,DIST_TOOL))*FX_PEG*LANDED_MULT,0),"")</f>
        <v/>
      </c>
      <c r="Q80" s="8" t="inlineStr">
        <is>
          <t>https://www.silkyhairindia.com/products.json</t>
        </is>
      </c>
      <c r="R80" s="8" t="inlineStr">
        <is>
          <t>Low volume, high attach rate</t>
        </is>
      </c>
      <c r="S80" s="8" t="inlineStr">
        <is>
          <t>Low - rarely searched directly</t>
        </is>
      </c>
      <c r="T80" s="15">
        <f>IF(E80="Profit",1,IF(O80&gt;2500,2,3))</f>
        <v/>
      </c>
      <c r="U80" s="8" t="inlineStr">
        <is>
          <t>Stylist demo: result after one wash; monthly reorder reminder</t>
        </is>
      </c>
      <c r="V80" s="8" t="inlineStr">
        <is>
          <t>Silky India (silkyhairindia.com) salon-professional range - the closest match to the "Silk Hair" you named. CONFIRM this is your brand before ordering. Consumables reorder monthly, which is what your salon accounts are missing.</t>
        </is>
      </c>
      <c r="W80" s="16">
        <f>IFERROR(ROUND(MIN(10,O80/1500)*IF(E80="Profit",1.4,1),2),"")</f>
        <v/>
      </c>
    </row>
    <row r="81" ht="30" customHeight="1">
      <c r="A81" s="10" t="inlineStr">
        <is>
          <t>ETP-077</t>
        </is>
      </c>
      <c r="B81" s="8" t="inlineStr">
        <is>
          <t>Silky India Ylang Feel Good Cream Conditioner (250ml / 1000ml)</t>
        </is>
      </c>
      <c r="C81" s="10" t="inlineStr">
        <is>
          <t>Ikonic</t>
        </is>
      </c>
      <c r="D81" s="10" t="inlineStr">
        <is>
          <t>Salon Consumables</t>
        </is>
      </c>
      <c r="E81" s="10" t="inlineStr">
        <is>
          <t>Attach</t>
        </is>
      </c>
      <c r="F81" s="10" t="inlineStr">
        <is>
          <t>BOTH</t>
        </is>
      </c>
      <c r="G81" s="8" t="inlineStr">
        <is>
          <t>Salon that reorders every month, not every year</t>
        </is>
      </c>
      <c r="H81" s="11" t="n">
        <v>1249</v>
      </c>
      <c r="I81" s="11" t="n"/>
      <c r="J81" s="11" t="n"/>
      <c r="K81" s="17" t="inlineStr">
        <is>
          <t>CONFIRM-BRAND</t>
        </is>
      </c>
      <c r="L81" s="13">
        <f>IF(J81&gt;0,J81,ROUND(P81/(1-M81),-1))</f>
        <v/>
      </c>
      <c r="M81" s="14" t="n">
        <v>0.4</v>
      </c>
      <c r="N81" s="13">
        <f>ROUND(L81*(1-M81),0)</f>
        <v/>
      </c>
      <c r="O81" s="13">
        <f>L81-N81</f>
        <v/>
      </c>
      <c r="P81" s="13">
        <f>IF(H81&gt;0,ROUND(H81*(1-IF(E81="Profit",DIST_FURN,DIST_TOOL))*FX_PEG*LANDED_MULT,0),"")</f>
        <v/>
      </c>
      <c r="Q81" s="8" t="inlineStr">
        <is>
          <t>https://www.silkyhairindia.com/products.json</t>
        </is>
      </c>
      <c r="R81" s="8" t="inlineStr">
        <is>
          <t>Low volume, high attach rate</t>
        </is>
      </c>
      <c r="S81" s="8" t="inlineStr">
        <is>
          <t>Low - rarely searched directly</t>
        </is>
      </c>
      <c r="T81" s="15">
        <f>IF(E81="Profit",1,IF(O81&gt;2500,2,3))</f>
        <v/>
      </c>
      <c r="U81" s="8" t="inlineStr">
        <is>
          <t>Stylist demo: result after one wash; monthly reorder reminder</t>
        </is>
      </c>
      <c r="V81" s="8" t="inlineStr">
        <is>
          <t>Silky India (silkyhairindia.com) salon-professional range - the closest match to the "Silk Hair" you named. CONFIRM this is your brand before ordering. Consumables reorder monthly, which is what your salon accounts are missing.</t>
        </is>
      </c>
      <c r="W81" s="16">
        <f>IFERROR(ROUND(MIN(10,O81/1500)*IF(E81="Profit",1.4,1),2),"")</f>
        <v/>
      </c>
    </row>
    <row r="82" ht="30" customHeight="1">
      <c r="A82" s="10" t="inlineStr">
        <is>
          <t>ETP-078</t>
        </is>
      </c>
      <c r="B82" s="8" t="inlineStr">
        <is>
          <t>Silky India Ylang Feel Good Shampoo</t>
        </is>
      </c>
      <c r="C82" s="10" t="inlineStr">
        <is>
          <t>Ikonic</t>
        </is>
      </c>
      <c r="D82" s="10" t="inlineStr">
        <is>
          <t>Salon Consumables</t>
        </is>
      </c>
      <c r="E82" s="10" t="inlineStr">
        <is>
          <t>Attach</t>
        </is>
      </c>
      <c r="F82" s="10" t="inlineStr">
        <is>
          <t>BOTH</t>
        </is>
      </c>
      <c r="G82" s="8" t="inlineStr">
        <is>
          <t>Salon that reorders every month, not every year</t>
        </is>
      </c>
      <c r="H82" s="11" t="n">
        <v>1149</v>
      </c>
      <c r="I82" s="11" t="n"/>
      <c r="J82" s="11" t="n"/>
      <c r="K82" s="17" t="inlineStr">
        <is>
          <t>CONFIRM-BRAND</t>
        </is>
      </c>
      <c r="L82" s="13">
        <f>IF(J82&gt;0,J82,ROUND(P82/(1-M82),-1))</f>
        <v/>
      </c>
      <c r="M82" s="14" t="n">
        <v>0.4</v>
      </c>
      <c r="N82" s="13">
        <f>ROUND(L82*(1-M82),0)</f>
        <v/>
      </c>
      <c r="O82" s="13">
        <f>L82-N82</f>
        <v/>
      </c>
      <c r="P82" s="13">
        <f>IF(H82&gt;0,ROUND(H82*(1-IF(E82="Profit",DIST_FURN,DIST_TOOL))*FX_PEG*LANDED_MULT,0),"")</f>
        <v/>
      </c>
      <c r="Q82" s="8" t="inlineStr">
        <is>
          <t>https://www.silkyhairindia.com/products.json</t>
        </is>
      </c>
      <c r="R82" s="8" t="inlineStr">
        <is>
          <t>Low volume, high attach rate</t>
        </is>
      </c>
      <c r="S82" s="8" t="inlineStr">
        <is>
          <t>Low - rarely searched directly</t>
        </is>
      </c>
      <c r="T82" s="15">
        <f>IF(E82="Profit",1,IF(O82&gt;2500,2,3))</f>
        <v/>
      </c>
      <c r="U82" s="8" t="inlineStr">
        <is>
          <t>Stylist demo: result after one wash; monthly reorder reminder</t>
        </is>
      </c>
      <c r="V82" s="8" t="inlineStr">
        <is>
          <t>Silky India (silkyhairindia.com) salon-professional range - the closest match to the "Silk Hair" you named. CONFIRM this is your brand before ordering. Consumables reorder monthly, which is what your salon accounts are missing.</t>
        </is>
      </c>
      <c r="W82" s="16">
        <f>IFERROR(ROUND(MIN(10,O82/1500)*IF(E82="Profit",1.4,1),2),"")</f>
        <v/>
      </c>
    </row>
    <row r="83" ht="30" customHeight="1">
      <c r="A83" s="10" t="inlineStr">
        <is>
          <t>ETP-079</t>
        </is>
      </c>
      <c r="B83" s="8" t="inlineStr">
        <is>
          <t>Silky India .04 Hair Repair Intensive Mask (250ml / 1000ml)</t>
        </is>
      </c>
      <c r="C83" s="10" t="inlineStr">
        <is>
          <t>Ikonic</t>
        </is>
      </c>
      <c r="D83" s="10" t="inlineStr">
        <is>
          <t>Salon Consumables</t>
        </is>
      </c>
      <c r="E83" s="10" t="inlineStr">
        <is>
          <t>Attach</t>
        </is>
      </c>
      <c r="F83" s="10" t="inlineStr">
        <is>
          <t>BOTH</t>
        </is>
      </c>
      <c r="G83" s="8" t="inlineStr">
        <is>
          <t>Salon that reorders every month, not every year</t>
        </is>
      </c>
      <c r="H83" s="11" t="n">
        <v>1099</v>
      </c>
      <c r="I83" s="11" t="n"/>
      <c r="J83" s="11" t="n"/>
      <c r="K83" s="17" t="inlineStr">
        <is>
          <t>CONFIRM-BRAND</t>
        </is>
      </c>
      <c r="L83" s="13">
        <f>IF(J83&gt;0,J83,ROUND(P83/(1-M83),-1))</f>
        <v/>
      </c>
      <c r="M83" s="14" t="n">
        <v>0.4</v>
      </c>
      <c r="N83" s="13">
        <f>ROUND(L83*(1-M83),0)</f>
        <v/>
      </c>
      <c r="O83" s="13">
        <f>L83-N83</f>
        <v/>
      </c>
      <c r="P83" s="13">
        <f>IF(H83&gt;0,ROUND(H83*(1-IF(E83="Profit",DIST_FURN,DIST_TOOL))*FX_PEG*LANDED_MULT,0),"")</f>
        <v/>
      </c>
      <c r="Q83" s="8" t="inlineStr">
        <is>
          <t>https://www.silkyhairindia.com/products.json</t>
        </is>
      </c>
      <c r="R83" s="8" t="inlineStr">
        <is>
          <t>Low volume, high attach rate</t>
        </is>
      </c>
      <c r="S83" s="8" t="inlineStr">
        <is>
          <t>Low - rarely searched directly</t>
        </is>
      </c>
      <c r="T83" s="15">
        <f>IF(E83="Profit",1,IF(O83&gt;2500,2,3))</f>
        <v/>
      </c>
      <c r="U83" s="8" t="inlineStr">
        <is>
          <t>Stylist demo: result after one wash; monthly reorder reminder</t>
        </is>
      </c>
      <c r="V83" s="8" t="inlineStr">
        <is>
          <t>Silky India (silkyhairindia.com) salon-professional range - the closest match to the "Silk Hair" you named. CONFIRM this is your brand before ordering. Consumables reorder monthly, which is what your salon accounts are missing.</t>
        </is>
      </c>
      <c r="W83" s="16">
        <f>IFERROR(ROUND(MIN(10,O83/1500)*IF(E83="Profit",1.4,1),2),"")</f>
        <v/>
      </c>
    </row>
    <row r="84" ht="30" customHeight="1">
      <c r="A84" s="10" t="inlineStr">
        <is>
          <t>ETP-080</t>
        </is>
      </c>
      <c r="B84" s="8" t="inlineStr">
        <is>
          <t>Silky India .03 Daily Care Hydro Herb Mask (250ml / 1000ml)</t>
        </is>
      </c>
      <c r="C84" s="10" t="inlineStr">
        <is>
          <t>Ikonic</t>
        </is>
      </c>
      <c r="D84" s="10" t="inlineStr">
        <is>
          <t>Salon Consumables</t>
        </is>
      </c>
      <c r="E84" s="10" t="inlineStr">
        <is>
          <t>Attach</t>
        </is>
      </c>
      <c r="F84" s="10" t="inlineStr">
        <is>
          <t>BOTH</t>
        </is>
      </c>
      <c r="G84" s="8" t="inlineStr">
        <is>
          <t>Salon that reorders every month, not every year</t>
        </is>
      </c>
      <c r="H84" s="11" t="n">
        <v>999</v>
      </c>
      <c r="I84" s="11" t="n"/>
      <c r="J84" s="11" t="n"/>
      <c r="K84" s="17" t="inlineStr">
        <is>
          <t>CONFIRM-BRAND</t>
        </is>
      </c>
      <c r="L84" s="13">
        <f>IF(J84&gt;0,J84,ROUND(P84/(1-M84),-1))</f>
        <v/>
      </c>
      <c r="M84" s="14" t="n">
        <v>0.4</v>
      </c>
      <c r="N84" s="13">
        <f>ROUND(L84*(1-M84),0)</f>
        <v/>
      </c>
      <c r="O84" s="13">
        <f>L84-N84</f>
        <v/>
      </c>
      <c r="P84" s="13">
        <f>IF(H84&gt;0,ROUND(H84*(1-IF(E84="Profit",DIST_FURN,DIST_TOOL))*FX_PEG*LANDED_MULT,0),"")</f>
        <v/>
      </c>
      <c r="Q84" s="8" t="inlineStr">
        <is>
          <t>https://www.silkyhairindia.com/products.json</t>
        </is>
      </c>
      <c r="R84" s="8" t="inlineStr">
        <is>
          <t>Low volume, high attach rate</t>
        </is>
      </c>
      <c r="S84" s="8" t="inlineStr">
        <is>
          <t>Low - rarely searched directly</t>
        </is>
      </c>
      <c r="T84" s="15">
        <f>IF(E84="Profit",1,IF(O84&gt;2500,2,3))</f>
        <v/>
      </c>
      <c r="U84" s="8" t="inlineStr">
        <is>
          <t>Stylist demo: result after one wash; monthly reorder reminder</t>
        </is>
      </c>
      <c r="V84" s="8" t="inlineStr">
        <is>
          <t>Silky India (silkyhairindia.com) salon-professional range - the closest match to the "Silk Hair" you named. CONFIRM this is your brand before ordering. Consumables reorder monthly, which is what your salon accounts are missing.</t>
        </is>
      </c>
      <c r="W84" s="16">
        <f>IFERROR(ROUND(MIN(10,O84/1500)*IF(E84="Profit",1.4,1),2),"")</f>
        <v/>
      </c>
    </row>
    <row r="85" ht="30" customHeight="1">
      <c r="A85" s="10" t="inlineStr">
        <is>
          <t>ETP-081</t>
        </is>
      </c>
      <c r="B85" s="8" t="inlineStr">
        <is>
          <t>Silky India .03 Daily Care Hydro Herb Balm (250ml / 1000ml)</t>
        </is>
      </c>
      <c r="C85" s="10" t="inlineStr">
        <is>
          <t>Ikonic</t>
        </is>
      </c>
      <c r="D85" s="10" t="inlineStr">
        <is>
          <t>Salon Consumables</t>
        </is>
      </c>
      <c r="E85" s="10" t="inlineStr">
        <is>
          <t>Attach</t>
        </is>
      </c>
      <c r="F85" s="10" t="inlineStr">
        <is>
          <t>BOTH</t>
        </is>
      </c>
      <c r="G85" s="8" t="inlineStr">
        <is>
          <t>Salon that reorders every month, not every year</t>
        </is>
      </c>
      <c r="H85" s="11" t="n">
        <v>999</v>
      </c>
      <c r="I85" s="11" t="n"/>
      <c r="J85" s="11" t="n"/>
      <c r="K85" s="17" t="inlineStr">
        <is>
          <t>CONFIRM-BRAND</t>
        </is>
      </c>
      <c r="L85" s="13">
        <f>IF(J85&gt;0,J85,ROUND(P85/(1-M85),-1))</f>
        <v/>
      </c>
      <c r="M85" s="14" t="n">
        <v>0.4</v>
      </c>
      <c r="N85" s="13">
        <f>ROUND(L85*(1-M85),0)</f>
        <v/>
      </c>
      <c r="O85" s="13">
        <f>L85-N85</f>
        <v/>
      </c>
      <c r="P85" s="13">
        <f>IF(H85&gt;0,ROUND(H85*(1-IF(E85="Profit",DIST_FURN,DIST_TOOL))*FX_PEG*LANDED_MULT,0),"")</f>
        <v/>
      </c>
      <c r="Q85" s="8" t="inlineStr">
        <is>
          <t>https://www.silkyhairindia.com/products.json</t>
        </is>
      </c>
      <c r="R85" s="8" t="inlineStr">
        <is>
          <t>Low volume, high attach rate</t>
        </is>
      </c>
      <c r="S85" s="8" t="inlineStr">
        <is>
          <t>Low - rarely searched directly</t>
        </is>
      </c>
      <c r="T85" s="15">
        <f>IF(E85="Profit",1,IF(O85&gt;2500,2,3))</f>
        <v/>
      </c>
      <c r="U85" s="8" t="inlineStr">
        <is>
          <t>Stylist demo: result after one wash; monthly reorder reminder</t>
        </is>
      </c>
      <c r="V85" s="8" t="inlineStr">
        <is>
          <t>Silky India (silkyhairindia.com) salon-professional range - the closest match to the "Silk Hair" you named. CONFIRM this is your brand before ordering. Consumables reorder monthly, which is what your salon accounts are missing.</t>
        </is>
      </c>
      <c r="W85" s="16">
        <f>IFERROR(ROUND(MIN(10,O85/1500)*IF(E85="Profit",1.4,1),2),"")</f>
        <v/>
      </c>
    </row>
    <row r="86" ht="30" customHeight="1">
      <c r="A86" s="10" t="inlineStr">
        <is>
          <t>ETP-082</t>
        </is>
      </c>
      <c r="B86" s="8" t="inlineStr">
        <is>
          <t>Silky India .02 Color Care Restitutive Mask (250ml / 1000ml)</t>
        </is>
      </c>
      <c r="C86" s="10" t="inlineStr">
        <is>
          <t>Ikonic</t>
        </is>
      </c>
      <c r="D86" s="10" t="inlineStr">
        <is>
          <t>Salon Consumables</t>
        </is>
      </c>
      <c r="E86" s="10" t="inlineStr">
        <is>
          <t>Attach</t>
        </is>
      </c>
      <c r="F86" s="10" t="inlineStr">
        <is>
          <t>BOTH</t>
        </is>
      </c>
      <c r="G86" s="8" t="inlineStr">
        <is>
          <t>Salon that reorders every month, not every year</t>
        </is>
      </c>
      <c r="H86" s="11" t="n">
        <v>949</v>
      </c>
      <c r="I86" s="11" t="n"/>
      <c r="J86" s="11" t="n"/>
      <c r="K86" s="17" t="inlineStr">
        <is>
          <t>CONFIRM-BRAND</t>
        </is>
      </c>
      <c r="L86" s="13">
        <f>IF(J86&gt;0,J86,ROUND(P86/(1-M86),-1))</f>
        <v/>
      </c>
      <c r="M86" s="14" t="n">
        <v>0.4</v>
      </c>
      <c r="N86" s="13">
        <f>ROUND(L86*(1-M86),0)</f>
        <v/>
      </c>
      <c r="O86" s="13">
        <f>L86-N86</f>
        <v/>
      </c>
      <c r="P86" s="13">
        <f>IF(H86&gt;0,ROUND(H86*(1-IF(E86="Profit",DIST_FURN,DIST_TOOL))*FX_PEG*LANDED_MULT,0),"")</f>
        <v/>
      </c>
      <c r="Q86" s="8" t="inlineStr">
        <is>
          <t>https://www.silkyhairindia.com/products.json</t>
        </is>
      </c>
      <c r="R86" s="8" t="inlineStr">
        <is>
          <t>Low volume, high attach rate</t>
        </is>
      </c>
      <c r="S86" s="8" t="inlineStr">
        <is>
          <t>Low - rarely searched directly</t>
        </is>
      </c>
      <c r="T86" s="15">
        <f>IF(E86="Profit",1,IF(O86&gt;2500,2,3))</f>
        <v/>
      </c>
      <c r="U86" s="8" t="inlineStr">
        <is>
          <t>Stylist demo: result after one wash; monthly reorder reminder</t>
        </is>
      </c>
      <c r="V86" s="8" t="inlineStr">
        <is>
          <t>Silky India (silkyhairindia.com) salon-professional range - the closest match to the "Silk Hair" you named. CONFIRM this is your brand before ordering. Consumables reorder monthly, which is what your salon accounts are missing.</t>
        </is>
      </c>
      <c r="W86" s="16">
        <f>IFERROR(ROUND(MIN(10,O86/1500)*IF(E86="Profit",1.4,1),2),"")</f>
        <v/>
      </c>
    </row>
    <row r="87" ht="30" customHeight="1">
      <c r="A87" s="10" t="inlineStr">
        <is>
          <t>ETP-083</t>
        </is>
      </c>
      <c r="B87" s="8" t="inlineStr">
        <is>
          <t>Silky India .03 Daily Care Daily Shampoo (250ml / 1000ml)</t>
        </is>
      </c>
      <c r="C87" s="10" t="inlineStr">
        <is>
          <t>Ikonic</t>
        </is>
      </c>
      <c r="D87" s="10" t="inlineStr">
        <is>
          <t>Salon Consumables</t>
        </is>
      </c>
      <c r="E87" s="10" t="inlineStr">
        <is>
          <t>Attach</t>
        </is>
      </c>
      <c r="F87" s="10" t="inlineStr">
        <is>
          <t>BOTH</t>
        </is>
      </c>
      <c r="G87" s="8" t="inlineStr">
        <is>
          <t>Salon that reorders every month, not every year</t>
        </is>
      </c>
      <c r="H87" s="11" t="n">
        <v>899</v>
      </c>
      <c r="I87" s="11" t="n"/>
      <c r="J87" s="11" t="n"/>
      <c r="K87" s="17" t="inlineStr">
        <is>
          <t>CONFIRM-BRAND</t>
        </is>
      </c>
      <c r="L87" s="13">
        <f>IF(J87&gt;0,J87,ROUND(P87/(1-M87),-1))</f>
        <v/>
      </c>
      <c r="M87" s="14" t="n">
        <v>0.4</v>
      </c>
      <c r="N87" s="13">
        <f>ROUND(L87*(1-M87),0)</f>
        <v/>
      </c>
      <c r="O87" s="13">
        <f>L87-N87</f>
        <v/>
      </c>
      <c r="P87" s="13">
        <f>IF(H87&gt;0,ROUND(H87*(1-IF(E87="Profit",DIST_FURN,DIST_TOOL))*FX_PEG*LANDED_MULT,0),"")</f>
        <v/>
      </c>
      <c r="Q87" s="8" t="inlineStr">
        <is>
          <t>https://www.silkyhairindia.com/products.json</t>
        </is>
      </c>
      <c r="R87" s="8" t="inlineStr">
        <is>
          <t>Low volume, high attach rate</t>
        </is>
      </c>
      <c r="S87" s="8" t="inlineStr">
        <is>
          <t>Low - rarely searched directly</t>
        </is>
      </c>
      <c r="T87" s="15">
        <f>IF(E87="Profit",1,IF(O87&gt;2500,2,3))</f>
        <v/>
      </c>
      <c r="U87" s="8" t="inlineStr">
        <is>
          <t>Stylist demo: result after one wash; monthly reorder reminder</t>
        </is>
      </c>
      <c r="V87" s="8" t="inlineStr">
        <is>
          <t>Silky India (silkyhairindia.com) salon-professional range - the closest match to the "Silk Hair" you named. CONFIRM this is your brand before ordering. Consumables reorder monthly, which is what your salon accounts are missing.</t>
        </is>
      </c>
      <c r="W87" s="16">
        <f>IFERROR(ROUND(MIN(10,O87/1500)*IF(E87="Profit",1.4,1),2),"")</f>
        <v/>
      </c>
    </row>
    <row r="88" ht="30" customHeight="1">
      <c r="A88" s="10" t="inlineStr">
        <is>
          <t>ETP-084</t>
        </is>
      </c>
      <c r="B88" s="8" t="inlineStr">
        <is>
          <t>Silky India .03 Nutrix Fluid Serum (100ml)</t>
        </is>
      </c>
      <c r="C88" s="10" t="inlineStr">
        <is>
          <t>Ikonic</t>
        </is>
      </c>
      <c r="D88" s="10" t="inlineStr">
        <is>
          <t>Salon Consumables</t>
        </is>
      </c>
      <c r="E88" s="10" t="inlineStr">
        <is>
          <t>Attach</t>
        </is>
      </c>
      <c r="F88" s="10" t="inlineStr">
        <is>
          <t>BOTH</t>
        </is>
      </c>
      <c r="G88" s="8" t="inlineStr">
        <is>
          <t>Salon that reorders every month, not every year</t>
        </is>
      </c>
      <c r="H88" s="11" t="n">
        <v>899</v>
      </c>
      <c r="I88" s="11" t="n"/>
      <c r="J88" s="11" t="n"/>
      <c r="K88" s="17" t="inlineStr">
        <is>
          <t>CONFIRM-BRAND</t>
        </is>
      </c>
      <c r="L88" s="13">
        <f>IF(J88&gt;0,J88,ROUND(P88/(1-M88),-1))</f>
        <v/>
      </c>
      <c r="M88" s="14" t="n">
        <v>0.4</v>
      </c>
      <c r="N88" s="13">
        <f>ROUND(L88*(1-M88),0)</f>
        <v/>
      </c>
      <c r="O88" s="13">
        <f>L88-N88</f>
        <v/>
      </c>
      <c r="P88" s="13">
        <f>IF(H88&gt;0,ROUND(H88*(1-IF(E88="Profit",DIST_FURN,DIST_TOOL))*FX_PEG*LANDED_MULT,0),"")</f>
        <v/>
      </c>
      <c r="Q88" s="8" t="inlineStr">
        <is>
          <t>https://www.silkyhairindia.com/products.json</t>
        </is>
      </c>
      <c r="R88" s="8" t="inlineStr">
        <is>
          <t>Low volume, high attach rate</t>
        </is>
      </c>
      <c r="S88" s="8" t="inlineStr">
        <is>
          <t>Low - rarely searched directly</t>
        </is>
      </c>
      <c r="T88" s="15">
        <f>IF(E88="Profit",1,IF(O88&gt;2500,2,3))</f>
        <v/>
      </c>
      <c r="U88" s="8" t="inlineStr">
        <is>
          <t>Stylist demo: result after one wash; monthly reorder reminder</t>
        </is>
      </c>
      <c r="V88" s="8" t="inlineStr">
        <is>
          <t>Silky India (silkyhairindia.com) salon-professional range - the closest match to the "Silk Hair" you named. CONFIRM this is your brand before ordering. Consumables reorder monthly, which is what your salon accounts are missing.</t>
        </is>
      </c>
      <c r="W88" s="16">
        <f>IFERROR(ROUND(MIN(10,O88/1500)*IF(E88="Profit",1.4,1),2),"")</f>
        <v/>
      </c>
    </row>
    <row r="89" ht="30" customHeight="1">
      <c r="A89" s="10" t="inlineStr">
        <is>
          <t>ETP-085</t>
        </is>
      </c>
      <c r="B89" s="8" t="inlineStr">
        <is>
          <t>Silky India .02 Color Care Shampoo (250ml / 1000ml)</t>
        </is>
      </c>
      <c r="C89" s="10" t="inlineStr">
        <is>
          <t>Ikonic</t>
        </is>
      </c>
      <c r="D89" s="10" t="inlineStr">
        <is>
          <t>Salon Consumables</t>
        </is>
      </c>
      <c r="E89" s="10" t="inlineStr">
        <is>
          <t>Attach</t>
        </is>
      </c>
      <c r="F89" s="10" t="inlineStr">
        <is>
          <t>BOTH</t>
        </is>
      </c>
      <c r="G89" s="8" t="inlineStr">
        <is>
          <t>Salon that reorders every month, not every year</t>
        </is>
      </c>
      <c r="H89" s="11" t="n">
        <v>849</v>
      </c>
      <c r="I89" s="11" t="n"/>
      <c r="J89" s="11" t="n"/>
      <c r="K89" s="17" t="inlineStr">
        <is>
          <t>CONFIRM-BRAND</t>
        </is>
      </c>
      <c r="L89" s="13">
        <f>IF(J89&gt;0,J89,ROUND(P89/(1-M89),-1))</f>
        <v/>
      </c>
      <c r="M89" s="14" t="n">
        <v>0.4</v>
      </c>
      <c r="N89" s="13">
        <f>ROUND(L89*(1-M89),0)</f>
        <v/>
      </c>
      <c r="O89" s="13">
        <f>L89-N89</f>
        <v/>
      </c>
      <c r="P89" s="13">
        <f>IF(H89&gt;0,ROUND(H89*(1-IF(E89="Profit",DIST_FURN,DIST_TOOL))*FX_PEG*LANDED_MULT,0),"")</f>
        <v/>
      </c>
      <c r="Q89" s="8" t="inlineStr">
        <is>
          <t>https://www.silkyhairindia.com/products.json</t>
        </is>
      </c>
      <c r="R89" s="8" t="inlineStr">
        <is>
          <t>Low volume, high attach rate</t>
        </is>
      </c>
      <c r="S89" s="8" t="inlineStr">
        <is>
          <t>Low - rarely searched directly</t>
        </is>
      </c>
      <c r="T89" s="15">
        <f>IF(E89="Profit",1,IF(O89&gt;2500,2,3))</f>
        <v/>
      </c>
      <c r="U89" s="8" t="inlineStr">
        <is>
          <t>Stylist demo: result after one wash; monthly reorder reminder</t>
        </is>
      </c>
      <c r="V89" s="8" t="inlineStr">
        <is>
          <t>Silky India (silkyhairindia.com) salon-professional range - the closest match to the "Silk Hair" you named. CONFIRM this is your brand before ordering. Consumables reorder monthly, which is what your salon accounts are missing.</t>
        </is>
      </c>
      <c r="W89" s="16">
        <f>IFERROR(ROUND(MIN(10,O89/1500)*IF(E89="Profit",1.4,1),2),"")</f>
        <v/>
      </c>
    </row>
    <row r="90" ht="30" customHeight="1">
      <c r="A90" s="10" t="inlineStr">
        <is>
          <t>ETP-086</t>
        </is>
      </c>
      <c r="B90" s="8" t="inlineStr">
        <is>
          <t>Silky India .07 Sebotherapy Oil Control Shampoo</t>
        </is>
      </c>
      <c r="C90" s="10" t="inlineStr">
        <is>
          <t>Ikonic</t>
        </is>
      </c>
      <c r="D90" s="10" t="inlineStr">
        <is>
          <t>Salon Consumables</t>
        </is>
      </c>
      <c r="E90" s="10" t="inlineStr">
        <is>
          <t>Attach</t>
        </is>
      </c>
      <c r="F90" s="10" t="inlineStr">
        <is>
          <t>BOTH</t>
        </is>
      </c>
      <c r="G90" s="8" t="inlineStr">
        <is>
          <t>Salon that reorders every month, not every year</t>
        </is>
      </c>
      <c r="H90" s="11" t="n">
        <v>799</v>
      </c>
      <c r="I90" s="11" t="n"/>
      <c r="J90" s="11" t="n"/>
      <c r="K90" s="17" t="inlineStr">
        <is>
          <t>CONFIRM-BRAND</t>
        </is>
      </c>
      <c r="L90" s="13">
        <f>IF(J90&gt;0,J90,ROUND(P90/(1-M90),-1))</f>
        <v/>
      </c>
      <c r="M90" s="14" t="n">
        <v>0.4</v>
      </c>
      <c r="N90" s="13">
        <f>ROUND(L90*(1-M90),0)</f>
        <v/>
      </c>
      <c r="O90" s="13">
        <f>L90-N90</f>
        <v/>
      </c>
      <c r="P90" s="13">
        <f>IF(H90&gt;0,ROUND(H90*(1-IF(E90="Profit",DIST_FURN,DIST_TOOL))*FX_PEG*LANDED_MULT,0),"")</f>
        <v/>
      </c>
      <c r="Q90" s="8" t="inlineStr">
        <is>
          <t>https://www.silkyhairindia.com/products.json</t>
        </is>
      </c>
      <c r="R90" s="8" t="inlineStr">
        <is>
          <t>Low volume, high attach rate</t>
        </is>
      </c>
      <c r="S90" s="8" t="inlineStr">
        <is>
          <t>Low - rarely searched directly</t>
        </is>
      </c>
      <c r="T90" s="15">
        <f>IF(E90="Profit",1,IF(O90&gt;2500,2,3))</f>
        <v/>
      </c>
      <c r="U90" s="8" t="inlineStr">
        <is>
          <t>Stylist demo: result after one wash; monthly reorder reminder</t>
        </is>
      </c>
      <c r="V90" s="8" t="inlineStr">
        <is>
          <t>Silky India (silkyhairindia.com) salon-professional range - the closest match to the "Silk Hair" you named. CONFIRM this is your brand before ordering. Consumables reorder monthly, which is what your salon accounts are missing.</t>
        </is>
      </c>
      <c r="W90" s="16">
        <f>IFERROR(ROUND(MIN(10,O90/1500)*IF(E90="Profit",1.4,1),2),"")</f>
        <v/>
      </c>
    </row>
    <row r="91" ht="30" customHeight="1">
      <c r="A91" s="10" t="inlineStr">
        <is>
          <t>ETP-087</t>
        </is>
      </c>
      <c r="B91" s="8" t="inlineStr">
        <is>
          <t>Ikonic Professional Hot Brush - Hair Straightener ( Burgundy )</t>
        </is>
      </c>
      <c r="C91" s="10" t="inlineStr">
        <is>
          <t>Ikonic</t>
        </is>
      </c>
      <c r="D91" s="10" t="inlineStr">
        <is>
          <t>Straighteners</t>
        </is>
      </c>
      <c r="E91" s="10" t="inlineStr">
        <is>
          <t>Traffic</t>
        </is>
      </c>
      <c r="F91" s="10" t="inlineStr">
        <is>
          <t>D2C</t>
        </is>
      </c>
      <c r="G91" s="8" t="inlineStr">
        <is>
          <t>Women 18-35, daily styling, wedding &amp; festival season</t>
        </is>
      </c>
      <c r="H91" s="11" t="n"/>
      <c r="I91" s="11" t="n"/>
      <c r="J91" s="11" t="n">
        <v>11500</v>
      </c>
      <c r="K91" s="12" t="inlineStr">
        <is>
          <t>VERIFIED</t>
        </is>
      </c>
      <c r="L91" s="13">
        <f>IF(J91&gt;0,J91,ROUND(P91/(1-M91),-1))</f>
        <v/>
      </c>
      <c r="M91" s="14" t="n">
        <v>0.275</v>
      </c>
      <c r="N91" s="13">
        <f>ROUND(L91*(1-M91),0)</f>
        <v/>
      </c>
      <c r="O91" s="13">
        <f>L91-N91</f>
        <v/>
      </c>
      <c r="P91" s="13">
        <f>IF(H91&gt;0,ROUND(H91*(1-IF(E91="Profit",DIST_FURN,DIST_TOOL))*FX_PEG*LANDED_MULT,0),"")</f>
        <v/>
      </c>
      <c r="Q91" s="8" t="inlineStr">
        <is>
          <t>https://www.daraz.com.np/products/ikonic-professional-hot-brush-hair-straightener-burgundy-i105935767.html</t>
        </is>
      </c>
      <c r="R91" s="8" t="inlineStr">
        <is>
          <t>High - daily styling + festival peaks</t>
        </is>
      </c>
      <c r="S91" s="8" t="inlineStr">
        <is>
          <t>High - price-transparent on Daraz</t>
        </is>
      </c>
      <c r="T91" s="15">
        <f>IF(E91="Profit",1,IF(O91&gt;2500,2,3))</f>
        <v/>
      </c>
      <c r="U91" s="8" t="inlineStr">
        <is>
          <t>One-pass demo on Nepali hair texture; plate close-up for authenticity</t>
        </is>
      </c>
      <c r="V91" s="8" t="inlineStr">
        <is>
          <t>India list and Daraz Nepal price both confirmed on live pages during research.</t>
        </is>
      </c>
      <c r="W91" s="16">
        <f>IFERROR(ROUND(MIN(10,O91/1500)*IF(E91="Profit",1.4,1),2),"")</f>
        <v/>
      </c>
    </row>
    <row r="92" ht="30" customHeight="1">
      <c r="A92" s="10" t="inlineStr">
        <is>
          <t>ETP-088</t>
        </is>
      </c>
      <c r="B92" s="8" t="inlineStr">
        <is>
          <t>Ikonic Professional Hair Straightener Hot Brush</t>
        </is>
      </c>
      <c r="C92" s="10" t="inlineStr">
        <is>
          <t>Ikonic</t>
        </is>
      </c>
      <c r="D92" s="10" t="inlineStr">
        <is>
          <t>Straighteners</t>
        </is>
      </c>
      <c r="E92" s="10" t="inlineStr">
        <is>
          <t>Traffic</t>
        </is>
      </c>
      <c r="F92" s="10" t="inlineStr">
        <is>
          <t>D2C</t>
        </is>
      </c>
      <c r="G92" s="8" t="inlineStr">
        <is>
          <t>Women 18-35, daily styling, wedding &amp; festival season</t>
        </is>
      </c>
      <c r="H92" s="11" t="n"/>
      <c r="I92" s="11" t="n"/>
      <c r="J92" s="11" t="n">
        <v>10140</v>
      </c>
      <c r="K92" s="12" t="inlineStr">
        <is>
          <t>VERIFIED</t>
        </is>
      </c>
      <c r="L92" s="13">
        <f>IF(J92&gt;0,J92,ROUND(P92/(1-M92),-1))</f>
        <v/>
      </c>
      <c r="M92" s="14" t="n">
        <v>0.275</v>
      </c>
      <c r="N92" s="13">
        <f>ROUND(L92*(1-M92),0)</f>
        <v/>
      </c>
      <c r="O92" s="13">
        <f>L92-N92</f>
        <v/>
      </c>
      <c r="P92" s="13">
        <f>IF(H92&gt;0,ROUND(H92*(1-IF(E92="Profit",DIST_FURN,DIST_TOOL))*FX_PEG*LANDED_MULT,0),"")</f>
        <v/>
      </c>
      <c r="Q92" s="8" t="inlineStr">
        <is>
          <t>https://www.daraz.com.np/products/ikonic-professional-hair-straightener-hot-brush-i381682519.html</t>
        </is>
      </c>
      <c r="R92" s="8" t="inlineStr">
        <is>
          <t>High - daily styling + festival peaks</t>
        </is>
      </c>
      <c r="S92" s="8" t="inlineStr">
        <is>
          <t>High - price-transparent on Daraz</t>
        </is>
      </c>
      <c r="T92" s="15">
        <f>IF(E92="Profit",1,IF(O92&gt;2500,2,3))</f>
        <v/>
      </c>
      <c r="U92" s="8" t="inlineStr">
        <is>
          <t>One-pass demo on Nepali hair texture; plate close-up for authenticity</t>
        </is>
      </c>
      <c r="V92" s="8" t="inlineStr">
        <is>
          <t>India list and Daraz Nepal price both confirmed on live pages during research.</t>
        </is>
      </c>
      <c r="W92" s="16">
        <f>IFERROR(ROUND(MIN(10,O92/1500)*IF(E92="Profit",1.4,1),2),"")</f>
        <v/>
      </c>
    </row>
    <row r="93" ht="30" customHeight="1">
      <c r="A93" s="10" t="inlineStr">
        <is>
          <t>ETP-089</t>
        </is>
      </c>
      <c r="B93" s="8" t="inlineStr">
        <is>
          <t>Ikonic Professional Pro Titanium Shine 3.0 Hair Straightener</t>
        </is>
      </c>
      <c r="C93" s="10" t="inlineStr">
        <is>
          <t>Ikonic</t>
        </is>
      </c>
      <c r="D93" s="10" t="inlineStr">
        <is>
          <t>Straighteners</t>
        </is>
      </c>
      <c r="E93" s="10" t="inlineStr">
        <is>
          <t>Traffic</t>
        </is>
      </c>
      <c r="F93" s="10" t="inlineStr">
        <is>
          <t>D2C</t>
        </is>
      </c>
      <c r="G93" s="8" t="inlineStr">
        <is>
          <t>Women 18-35, daily styling, wedding &amp; festival season</t>
        </is>
      </c>
      <c r="H93" s="11" t="n">
        <v>6300</v>
      </c>
      <c r="I93" s="11" t="n">
        <v>9000</v>
      </c>
      <c r="J93" s="11" t="n">
        <v>12920</v>
      </c>
      <c r="K93" s="12" t="inlineStr">
        <is>
          <t>VERIFIED</t>
        </is>
      </c>
      <c r="L93" s="13">
        <f>IF(J93&gt;0,J93,ROUND(P93/(1-M93),-1))</f>
        <v/>
      </c>
      <c r="M93" s="14" t="n">
        <v>0.275</v>
      </c>
      <c r="N93" s="13">
        <f>ROUND(L93*(1-M93),0)</f>
        <v/>
      </c>
      <c r="O93" s="13">
        <f>L93-N93</f>
        <v/>
      </c>
      <c r="P93" s="13">
        <f>IF(H93&gt;0,ROUND(H93*(1-IF(E93="Profit",DIST_FURN,DIST_TOOL))*FX_PEG*LANDED_MULT,0),"")</f>
        <v/>
      </c>
      <c r="Q93" s="8" t="inlineStr">
        <is>
          <t>https://www.daraz.com.np/products/ikonic-professional-pro-titanium-shine-30-hair-straightener-with-temperature-control-i436033192.html</t>
        </is>
      </c>
      <c r="R93" s="8" t="inlineStr">
        <is>
          <t>High - daily styling + festival peaks</t>
        </is>
      </c>
      <c r="S93" s="8" t="inlineStr">
        <is>
          <t>High - price-transparent on Daraz</t>
        </is>
      </c>
      <c r="T93" s="15">
        <f>IF(E93="Profit",1,IF(O93&gt;2500,2,3))</f>
        <v/>
      </c>
      <c r="U93" s="8" t="inlineStr">
        <is>
          <t>One-pass demo on Nepali hair texture; plate close-up for authenticity</t>
        </is>
      </c>
      <c r="V93" s="8" t="inlineStr">
        <is>
          <t>India list and Daraz Nepal price both confirmed on live pages during research.</t>
        </is>
      </c>
      <c r="W93" s="16">
        <f>IFERROR(ROUND(MIN(10,O93/1500)*IF(E93="Profit",1.4,1),2),"")</f>
        <v/>
      </c>
    </row>
    <row r="94" ht="30" customHeight="1">
      <c r="A94" s="10" t="inlineStr">
        <is>
          <t>ETP-090</t>
        </is>
      </c>
      <c r="B94" s="8" t="inlineStr">
        <is>
          <t>Ikonic Professional Gleam Pro Hair Straightener</t>
        </is>
      </c>
      <c r="C94" s="10" t="inlineStr">
        <is>
          <t>Ikonic</t>
        </is>
      </c>
      <c r="D94" s="10" t="inlineStr">
        <is>
          <t>Straighteners</t>
        </is>
      </c>
      <c r="E94" s="10" t="inlineStr">
        <is>
          <t>Traffic</t>
        </is>
      </c>
      <c r="F94" s="10" t="inlineStr">
        <is>
          <t>D2C</t>
        </is>
      </c>
      <c r="G94" s="8" t="inlineStr">
        <is>
          <t>Women 18-35, daily styling, wedding &amp; festival season</t>
        </is>
      </c>
      <c r="H94" s="11" t="n">
        <v>6300</v>
      </c>
      <c r="I94" s="11" t="n">
        <v>9000</v>
      </c>
      <c r="J94" s="11" t="n"/>
      <c r="K94" s="12" t="inlineStr">
        <is>
          <t>NO-NEPAL-LISTING</t>
        </is>
      </c>
      <c r="L94" s="13">
        <f>IF(J94&gt;0,J94,ROUND(P94/(1-M94),-1))</f>
        <v/>
      </c>
      <c r="M94" s="14" t="n">
        <v>0.275</v>
      </c>
      <c r="N94" s="13">
        <f>ROUND(L94*(1-M94),0)</f>
        <v/>
      </c>
      <c r="O94" s="13">
        <f>L94-N94</f>
        <v/>
      </c>
      <c r="P94" s="13">
        <f>IF(H94&gt;0,ROUND(H94*(1-IF(E94="Profit",DIST_FURN,DIST_TOOL))*FX_PEG*LANDED_MULT,0),"")</f>
        <v/>
      </c>
      <c r="Q94" s="8" t="inlineStr">
        <is>
          <t>https://www.ikonicworld.com/products/gleam-pro</t>
        </is>
      </c>
      <c r="R94" s="8" t="inlineStr">
        <is>
          <t>High - daily styling + festival peaks</t>
        </is>
      </c>
      <c r="S94" s="8" t="inlineStr">
        <is>
          <t>High - price-transparent on Daraz</t>
        </is>
      </c>
      <c r="T94" s="15">
        <f>IF(E94="Profit",1,IF(O94&gt;2500,2,3))</f>
        <v/>
      </c>
      <c r="U94" s="8" t="inlineStr">
        <is>
          <t>One-pass demo on Nepali hair texture; plate close-up for authenticity</t>
        </is>
      </c>
      <c r="V94" s="8" t="inlineStr">
        <is>
          <t>No Daraz Nepal listing found. Price set from landed cost + target margin. You set the anchor here.</t>
        </is>
      </c>
      <c r="W94" s="16">
        <f>IFERROR(ROUND(MIN(10,O94/1500)*IF(E94="Profit",1.4,1),2),"")</f>
        <v/>
      </c>
    </row>
    <row r="95" ht="30" customHeight="1">
      <c r="A95" s="10" t="inlineStr">
        <is>
          <t>ETP-091</t>
        </is>
      </c>
      <c r="B95" s="8" t="inlineStr">
        <is>
          <t>Ikonic Professional Hair Straightener Hot Brush | Straightening hair brush</t>
        </is>
      </c>
      <c r="C95" s="10" t="inlineStr">
        <is>
          <t>Ikonic</t>
        </is>
      </c>
      <c r="D95" s="10" t="inlineStr">
        <is>
          <t>Straighteners</t>
        </is>
      </c>
      <c r="E95" s="10" t="inlineStr">
        <is>
          <t>Traffic</t>
        </is>
      </c>
      <c r="F95" s="10" t="inlineStr">
        <is>
          <t>D2C</t>
        </is>
      </c>
      <c r="G95" s="8" t="inlineStr">
        <is>
          <t>Women 18-35, daily styling, wedding &amp; festival season</t>
        </is>
      </c>
      <c r="H95" s="11" t="n"/>
      <c r="I95" s="11" t="n"/>
      <c r="J95" s="11" t="n">
        <v>9620</v>
      </c>
      <c r="K95" s="12" t="inlineStr">
        <is>
          <t>VERIFIED</t>
        </is>
      </c>
      <c r="L95" s="13">
        <f>IF(J95&gt;0,J95,ROUND(P95/(1-M95),-1))</f>
        <v/>
      </c>
      <c r="M95" s="14" t="n">
        <v>0.275</v>
      </c>
      <c r="N95" s="13">
        <f>ROUND(L95*(1-M95),0)</f>
        <v/>
      </c>
      <c r="O95" s="13">
        <f>L95-N95</f>
        <v/>
      </c>
      <c r="P95" s="13">
        <f>IF(H95&gt;0,ROUND(H95*(1-IF(E95="Profit",DIST_FURN,DIST_TOOL))*FX_PEG*LANDED_MULT,0),"")</f>
        <v/>
      </c>
      <c r="Q95" s="8" t="inlineStr">
        <is>
          <t>https://www.daraz.com.np/products/ikonic-professional-hair-straightener-hot-brush-straightening-hair-brush-i125576716.html</t>
        </is>
      </c>
      <c r="R95" s="8" t="inlineStr">
        <is>
          <t>High - daily styling + festival peaks</t>
        </is>
      </c>
      <c r="S95" s="8" t="inlineStr">
        <is>
          <t>High - price-transparent on Daraz</t>
        </is>
      </c>
      <c r="T95" s="15">
        <f>IF(E95="Profit",1,IF(O95&gt;2500,2,3))</f>
        <v/>
      </c>
      <c r="U95" s="8" t="inlineStr">
        <is>
          <t>One-pass demo on Nepali hair texture; plate close-up for authenticity</t>
        </is>
      </c>
      <c r="V95" s="8" t="inlineStr">
        <is>
          <t>India list and Daraz Nepal price both confirmed on live pages during research.</t>
        </is>
      </c>
      <c r="W95" s="16">
        <f>IFERROR(ROUND(MIN(10,O95/1500)*IF(E95="Profit",1.4,1),2),"")</f>
        <v/>
      </c>
    </row>
    <row r="96" ht="30" customHeight="1">
      <c r="A96" s="10" t="inlineStr">
        <is>
          <t>ETP-092</t>
        </is>
      </c>
      <c r="B96" s="8" t="inlineStr">
        <is>
          <t>Ikonic Professional Gleam 3.0 Hair Straightener</t>
        </is>
      </c>
      <c r="C96" s="10" t="inlineStr">
        <is>
          <t>Ikonic</t>
        </is>
      </c>
      <c r="D96" s="10" t="inlineStr">
        <is>
          <t>Straighteners</t>
        </is>
      </c>
      <c r="E96" s="10" t="inlineStr">
        <is>
          <t>Traffic</t>
        </is>
      </c>
      <c r="F96" s="10" t="inlineStr">
        <is>
          <t>D2C</t>
        </is>
      </c>
      <c r="G96" s="8" t="inlineStr">
        <is>
          <t>Women 18-35, daily styling, wedding &amp; festival season</t>
        </is>
      </c>
      <c r="H96" s="11" t="n">
        <v>5950</v>
      </c>
      <c r="I96" s="11" t="n">
        <v>8500</v>
      </c>
      <c r="J96" s="11" t="n">
        <v>12580</v>
      </c>
      <c r="K96" s="17" t="inlineStr">
        <is>
          <t>LIKELY-MATCH</t>
        </is>
      </c>
      <c r="L96" s="13">
        <f>IF(J96&gt;0,J96,ROUND(P96/(1-M96),-1))</f>
        <v/>
      </c>
      <c r="M96" s="14" t="n">
        <v>0.275</v>
      </c>
      <c r="N96" s="13">
        <f>ROUND(L96*(1-M96),0)</f>
        <v/>
      </c>
      <c r="O96" s="13">
        <f>L96-N96</f>
        <v/>
      </c>
      <c r="P96" s="13">
        <f>IF(H96&gt;0,ROUND(H96*(1-IF(E96="Profit",DIST_FURN,DIST_TOOL))*FX_PEG*LANDED_MULT,0),"")</f>
        <v/>
      </c>
      <c r="Q96" s="8" t="inlineStr">
        <is>
          <t>https://www.daraz.com.np/products/ikonic-gleam-30-hair-iron-hair-straightener-or-flat-iron-with-1-inch-slim-floating-rose-gold-with-titanium-plates-1-year-warranty-i295071849.html</t>
        </is>
      </c>
      <c r="R96" s="8" t="inlineStr">
        <is>
          <t>High - daily styling + festival peaks</t>
        </is>
      </c>
      <c r="S96" s="8" t="inlineStr">
        <is>
          <t>High - price-transparent on Daraz</t>
        </is>
      </c>
      <c r="T96" s="15">
        <f>IF(E96="Profit",1,IF(O96&gt;2500,2,3))</f>
        <v/>
      </c>
      <c r="U96" s="8" t="inlineStr">
        <is>
          <t>One-pass demo on Nepali hair texture; plate close-up for authenticity</t>
        </is>
      </c>
      <c r="V96" s="8" t="inlineStr">
        <is>
          <t>Name-matched to Daraz listing "Ikonic Gleam 3.0 Hair Iron | Hair Straightener or Flat I". Open the link and confirm same model before pricing.</t>
        </is>
      </c>
      <c r="W96" s="16">
        <f>IFERROR(ROUND(MIN(10,O96/1500)*IF(E96="Profit",1.4,1),2),"")</f>
        <v/>
      </c>
    </row>
    <row r="97" ht="30" customHeight="1">
      <c r="A97" s="10" t="inlineStr">
        <is>
          <t>ETP-093</t>
        </is>
      </c>
      <c r="B97" s="8" t="inlineStr">
        <is>
          <t>Ikonic Professional Hair Straightener - Slim Titanium Shine 3.0</t>
        </is>
      </c>
      <c r="C97" s="10" t="inlineStr">
        <is>
          <t>Ikonic</t>
        </is>
      </c>
      <c r="D97" s="10" t="inlineStr">
        <is>
          <t>Straighteners</t>
        </is>
      </c>
      <c r="E97" s="10" t="inlineStr">
        <is>
          <t>Traffic</t>
        </is>
      </c>
      <c r="F97" s="10" t="inlineStr">
        <is>
          <t>D2C</t>
        </is>
      </c>
      <c r="G97" s="8" t="inlineStr">
        <is>
          <t>Women 18-35, daily styling, wedding &amp; festival season</t>
        </is>
      </c>
      <c r="H97" s="11" t="n">
        <v>5600</v>
      </c>
      <c r="I97" s="11" t="n">
        <v>8000</v>
      </c>
      <c r="J97" s="11" t="n">
        <v>12920</v>
      </c>
      <c r="K97" s="17" t="inlineStr">
        <is>
          <t>LIKELY-MATCH</t>
        </is>
      </c>
      <c r="L97" s="13">
        <f>IF(J97&gt;0,J97,ROUND(P97/(1-M97),-1))</f>
        <v/>
      </c>
      <c r="M97" s="14" t="n">
        <v>0.275</v>
      </c>
      <c r="N97" s="13">
        <f>ROUND(L97*(1-M97),0)</f>
        <v/>
      </c>
      <c r="O97" s="13">
        <f>L97-N97</f>
        <v/>
      </c>
      <c r="P97" s="13">
        <f>IF(H97&gt;0,ROUND(H97*(1-IF(E97="Profit",DIST_FURN,DIST_TOOL))*FX_PEG*LANDED_MULT,0),"")</f>
        <v/>
      </c>
      <c r="Q97" s="8" t="inlineStr">
        <is>
          <t>https://www.daraz.com.np/products/ikonic-professional-pro-titanium-shine-30-hair-straightener-with-temperature-control-i436033192.html</t>
        </is>
      </c>
      <c r="R97" s="8" t="inlineStr">
        <is>
          <t>High - daily styling + festival peaks</t>
        </is>
      </c>
      <c r="S97" s="8" t="inlineStr">
        <is>
          <t>High - price-transparent on Daraz</t>
        </is>
      </c>
      <c r="T97" s="15">
        <f>IF(E97="Profit",1,IF(O97&gt;2500,2,3))</f>
        <v/>
      </c>
      <c r="U97" s="8" t="inlineStr">
        <is>
          <t>One-pass demo on Nepali hair texture; plate close-up for authenticity</t>
        </is>
      </c>
      <c r="V97" s="8" t="inlineStr">
        <is>
          <t>Name-matched to Daraz listing "Ikonic Professional Pro Titanium Shine 3.0 Hair Straight". Open the link and confirm same model before pricing.</t>
        </is>
      </c>
      <c r="W97" s="16">
        <f>IFERROR(ROUND(MIN(10,O97/1500)*IF(E97="Profit",1.4,1),2),"")</f>
        <v/>
      </c>
    </row>
    <row r="98" ht="30" customHeight="1">
      <c r="A98" s="10" t="inlineStr">
        <is>
          <t>ETP-094</t>
        </is>
      </c>
      <c r="B98" s="8" t="inlineStr">
        <is>
          <t>Ikonic Professional Finishing Line Hair Straightener</t>
        </is>
      </c>
      <c r="C98" s="10" t="inlineStr">
        <is>
          <t>Ikonic</t>
        </is>
      </c>
      <c r="D98" s="10" t="inlineStr">
        <is>
          <t>Straighteners</t>
        </is>
      </c>
      <c r="E98" s="10" t="inlineStr">
        <is>
          <t>Traffic</t>
        </is>
      </c>
      <c r="F98" s="10" t="inlineStr">
        <is>
          <t>D2C</t>
        </is>
      </c>
      <c r="G98" s="8" t="inlineStr">
        <is>
          <t>Women 18-35, daily styling, wedding &amp; festival season</t>
        </is>
      </c>
      <c r="H98" s="11" t="n">
        <v>5400</v>
      </c>
      <c r="I98" s="11" t="n">
        <v>9000</v>
      </c>
      <c r="J98" s="11" t="n"/>
      <c r="K98" s="12" t="inlineStr">
        <is>
          <t>NO-NEPAL-LISTING</t>
        </is>
      </c>
      <c r="L98" s="13">
        <f>IF(J98&gt;0,J98,ROUND(P98/(1-M98),-1))</f>
        <v/>
      </c>
      <c r="M98" s="14" t="n">
        <v>0.275</v>
      </c>
      <c r="N98" s="13">
        <f>ROUND(L98*(1-M98),0)</f>
        <v/>
      </c>
      <c r="O98" s="13">
        <f>L98-N98</f>
        <v/>
      </c>
      <c r="P98" s="13">
        <f>IF(H98&gt;0,ROUND(H98*(1-IF(E98="Profit",DIST_FURN,DIST_TOOL))*FX_PEG*LANDED_MULT,0),"")</f>
        <v/>
      </c>
      <c r="Q98" s="8" t="inlineStr">
        <is>
          <t>https://www.ikonicworld.com/products/finishing-line-hair-straightener</t>
        </is>
      </c>
      <c r="R98" s="8" t="inlineStr">
        <is>
          <t>High - daily styling + festival peaks</t>
        </is>
      </c>
      <c r="S98" s="8" t="inlineStr">
        <is>
          <t>High - price-transparent on Daraz</t>
        </is>
      </c>
      <c r="T98" s="15">
        <f>IF(E98="Profit",1,IF(O98&gt;2500,2,3))</f>
        <v/>
      </c>
      <c r="U98" s="8" t="inlineStr">
        <is>
          <t>One-pass demo on Nepali hair texture; plate close-up for authenticity</t>
        </is>
      </c>
      <c r="V98" s="8" t="inlineStr">
        <is>
          <t>No Daraz Nepal listing found. Price set from landed cost + target margin. You set the anchor here.</t>
        </is>
      </c>
      <c r="W98" s="16">
        <f>IFERROR(ROUND(MIN(10,O98/1500)*IF(E98="Profit",1.4,1),2),"")</f>
        <v/>
      </c>
    </row>
    <row r="99" ht="30" customHeight="1">
      <c r="A99" s="10" t="inlineStr">
        <is>
          <t>ETP-095</t>
        </is>
      </c>
      <c r="B99" s="8" t="inlineStr">
        <is>
          <t>Ikonic Professional Black Titanium Slim Hair Straightener</t>
        </is>
      </c>
      <c r="C99" s="10" t="inlineStr">
        <is>
          <t>Ikonic</t>
        </is>
      </c>
      <c r="D99" s="10" t="inlineStr">
        <is>
          <t>Straighteners</t>
        </is>
      </c>
      <c r="E99" s="10" t="inlineStr">
        <is>
          <t>Traffic</t>
        </is>
      </c>
      <c r="F99" s="10" t="inlineStr">
        <is>
          <t>D2C</t>
        </is>
      </c>
      <c r="G99" s="8" t="inlineStr">
        <is>
          <t>Women 18-35, daily styling, wedding &amp; festival season</t>
        </is>
      </c>
      <c r="H99" s="11" t="n">
        <v>5100</v>
      </c>
      <c r="I99" s="11" t="n">
        <v>8500</v>
      </c>
      <c r="J99" s="11" t="n">
        <v>8880</v>
      </c>
      <c r="K99" s="12" t="inlineStr">
        <is>
          <t>VERIFIED</t>
        </is>
      </c>
      <c r="L99" s="13">
        <f>IF(J99&gt;0,J99,ROUND(P99/(1-M99),-1))</f>
        <v/>
      </c>
      <c r="M99" s="14" t="n">
        <v>0.275</v>
      </c>
      <c r="N99" s="13">
        <f>ROUND(L99*(1-M99),0)</f>
        <v/>
      </c>
      <c r="O99" s="13">
        <f>L99-N99</f>
        <v/>
      </c>
      <c r="P99" s="13">
        <f>IF(H99&gt;0,ROUND(H99*(1-IF(E99="Profit",DIST_FURN,DIST_TOOL))*FX_PEG*LANDED_MULT,0),"")</f>
        <v/>
      </c>
      <c r="Q99" s="8" t="inlineStr">
        <is>
          <t>https://www.daraz.com.np/products/ikonic-professional-titanium-hair-slim-crimper-styler-i125583057.html</t>
        </is>
      </c>
      <c r="R99" s="8" t="inlineStr">
        <is>
          <t>High - daily styling + festival peaks</t>
        </is>
      </c>
      <c r="S99" s="8" t="inlineStr">
        <is>
          <t>High - price-transparent on Daraz</t>
        </is>
      </c>
      <c r="T99" s="15">
        <f>IF(E99="Profit",1,IF(O99&gt;2500,2,3))</f>
        <v/>
      </c>
      <c r="U99" s="8" t="inlineStr">
        <is>
          <t>One-pass demo on Nepali hair texture; plate close-up for authenticity</t>
        </is>
      </c>
      <c r="V99" s="8" t="inlineStr">
        <is>
          <t>India list and Daraz Nepal price both confirmed on live pages during research.</t>
        </is>
      </c>
      <c r="W99" s="16">
        <f>IFERROR(ROUND(MIN(10,O99/1500)*IF(E99="Profit",1.4,1),2),"")</f>
        <v/>
      </c>
    </row>
    <row r="100" ht="30" customHeight="1">
      <c r="A100" s="10" t="inlineStr">
        <is>
          <t>ETP-096</t>
        </is>
      </c>
      <c r="B100" s="8" t="inlineStr">
        <is>
          <t>Ikonic Professional Pro Straight Black Hair Straightener</t>
        </is>
      </c>
      <c r="C100" s="10" t="inlineStr">
        <is>
          <t>Ikonic</t>
        </is>
      </c>
      <c r="D100" s="10" t="inlineStr">
        <is>
          <t>Straighteners</t>
        </is>
      </c>
      <c r="E100" s="10" t="inlineStr">
        <is>
          <t>Traffic</t>
        </is>
      </c>
      <c r="F100" s="10" t="inlineStr">
        <is>
          <t>D2C</t>
        </is>
      </c>
      <c r="G100" s="8" t="inlineStr">
        <is>
          <t>Women 18-35, daily styling, wedding &amp; festival season</t>
        </is>
      </c>
      <c r="H100" s="11" t="n">
        <v>4550</v>
      </c>
      <c r="I100" s="11" t="n">
        <v>6500</v>
      </c>
      <c r="J100" s="11" t="n">
        <v>9760</v>
      </c>
      <c r="K100" s="12" t="inlineStr">
        <is>
          <t>VERIFIED</t>
        </is>
      </c>
      <c r="L100" s="13">
        <f>IF(J100&gt;0,J100,ROUND(P100/(1-M100),-1))</f>
        <v/>
      </c>
      <c r="M100" s="14" t="n">
        <v>0.275</v>
      </c>
      <c r="N100" s="13">
        <f>ROUND(L100*(1-M100),0)</f>
        <v/>
      </c>
      <c r="O100" s="13">
        <f>L100-N100</f>
        <v/>
      </c>
      <c r="P100" s="13">
        <f>IF(H100&gt;0,ROUND(H100*(1-IF(E100="Profit",DIST_FURN,DIST_TOOL))*FX_PEG*LANDED_MULT,0),"")</f>
        <v/>
      </c>
      <c r="Q100" s="8" t="inlineStr">
        <is>
          <t>https://www.daraz.com.np/products/ikonic-pro-straight-hair-straightener-i348301708.html</t>
        </is>
      </c>
      <c r="R100" s="8" t="inlineStr">
        <is>
          <t>High - daily styling + festival peaks</t>
        </is>
      </c>
      <c r="S100" s="8" t="inlineStr">
        <is>
          <t>High - price-transparent on Daraz</t>
        </is>
      </c>
      <c r="T100" s="15">
        <f>IF(E100="Profit",1,IF(O100&gt;2500,2,3))</f>
        <v/>
      </c>
      <c r="U100" s="8" t="inlineStr">
        <is>
          <t>One-pass demo on Nepali hair texture; plate close-up for authenticity</t>
        </is>
      </c>
      <c r="V100" s="8" t="inlineStr">
        <is>
          <t>India list and Daraz Nepal price both confirmed on live pages during research.</t>
        </is>
      </c>
      <c r="W100" s="16">
        <f>IFERROR(ROUND(MIN(10,O100/1500)*IF(E100="Profit",1.4,1),2),"")</f>
        <v/>
      </c>
    </row>
    <row r="101" ht="30" customHeight="1">
      <c r="A101" s="10" t="inlineStr">
        <is>
          <t>ETP-097</t>
        </is>
      </c>
      <c r="B101" s="8" t="inlineStr">
        <is>
          <t xml:space="preserve">Ikonic Go Straight Hair Straightener, Black &amp; Pink | Floating &amp; Ceramic Plates| Lock Function| </t>
        </is>
      </c>
      <c r="C101" s="10" t="inlineStr">
        <is>
          <t>Ikonic</t>
        </is>
      </c>
      <c r="D101" s="10" t="inlineStr">
        <is>
          <t>Straighteners</t>
        </is>
      </c>
      <c r="E101" s="10" t="inlineStr">
        <is>
          <t>Traffic</t>
        </is>
      </c>
      <c r="F101" s="10" t="inlineStr">
        <is>
          <t>D2C</t>
        </is>
      </c>
      <c r="G101" s="8" t="inlineStr">
        <is>
          <t>Women 18-35, daily styling, wedding &amp; festival season</t>
        </is>
      </c>
      <c r="H101" s="11" t="n"/>
      <c r="I101" s="11" t="n"/>
      <c r="J101" s="11" t="n">
        <v>5999</v>
      </c>
      <c r="K101" s="12" t="inlineStr">
        <is>
          <t>VERIFIED</t>
        </is>
      </c>
      <c r="L101" s="13">
        <f>IF(J101&gt;0,J101,ROUND(P101/(1-M101),-1))</f>
        <v/>
      </c>
      <c r="M101" s="14" t="n">
        <v>0.275</v>
      </c>
      <c r="N101" s="13">
        <f>ROUND(L101*(1-M101),0)</f>
        <v/>
      </c>
      <c r="O101" s="13">
        <f>L101-N101</f>
        <v/>
      </c>
      <c r="P101" s="13">
        <f>IF(H101&gt;0,ROUND(H101*(1-IF(E101="Profit",DIST_FURN,DIST_TOOL))*FX_PEG*LANDED_MULT,0),"")</f>
        <v/>
      </c>
      <c r="Q101" s="8" t="inlineStr">
        <is>
          <t>https://www.daraz.com.np/products/ikonic-go-straight-hair-straightener-black-pink-floating-ceramic-plates-lock-function-quick-easy-to-use-i482287817.html</t>
        </is>
      </c>
      <c r="R101" s="8" t="inlineStr">
        <is>
          <t>High - daily styling + festival peaks</t>
        </is>
      </c>
      <c r="S101" s="8" t="inlineStr">
        <is>
          <t>High - price-transparent on Daraz</t>
        </is>
      </c>
      <c r="T101" s="15">
        <f>IF(E101="Profit",1,IF(O101&gt;2500,2,3))</f>
        <v/>
      </c>
      <c r="U101" s="8" t="inlineStr">
        <is>
          <t>One-pass demo on Nepali hair texture; plate close-up for authenticity</t>
        </is>
      </c>
      <c r="V101" s="8" t="inlineStr">
        <is>
          <t>India list and Daraz Nepal price both confirmed on live pages during research.</t>
        </is>
      </c>
      <c r="W101" s="16">
        <f>IFERROR(ROUND(MIN(10,O101/1500)*IF(E101="Profit",1.4,1),2),"")</f>
        <v/>
      </c>
    </row>
    <row r="102" ht="30" customHeight="1">
      <c r="A102" s="10" t="inlineStr">
        <is>
          <t>ETP-098</t>
        </is>
      </c>
      <c r="B102" s="8" t="inlineStr">
        <is>
          <t>Ikonic Professional S3+ Hair Straightener</t>
        </is>
      </c>
      <c r="C102" s="10" t="inlineStr">
        <is>
          <t>Ikonic</t>
        </is>
      </c>
      <c r="D102" s="10" t="inlineStr">
        <is>
          <t>Straighteners</t>
        </is>
      </c>
      <c r="E102" s="10" t="inlineStr">
        <is>
          <t>Traffic</t>
        </is>
      </c>
      <c r="F102" s="10" t="inlineStr">
        <is>
          <t>D2C</t>
        </is>
      </c>
      <c r="G102" s="8" t="inlineStr">
        <is>
          <t>Women 18-35, daily styling, wedding &amp; festival season</t>
        </is>
      </c>
      <c r="H102" s="11" t="n">
        <v>3675</v>
      </c>
      <c r="I102" s="11" t="n">
        <v>5250</v>
      </c>
      <c r="J102" s="11" t="n">
        <v>7690</v>
      </c>
      <c r="K102" s="12" t="inlineStr">
        <is>
          <t>VERIFIED</t>
        </is>
      </c>
      <c r="L102" s="13">
        <f>IF(J102&gt;0,J102,ROUND(P102/(1-M102),-1))</f>
        <v/>
      </c>
      <c r="M102" s="14" t="n">
        <v>0.275</v>
      </c>
      <c r="N102" s="13">
        <f>ROUND(L102*(1-M102),0)</f>
        <v/>
      </c>
      <c r="O102" s="13">
        <f>L102-N102</f>
        <v/>
      </c>
      <c r="P102" s="13">
        <f>IF(H102&gt;0,ROUND(H102*(1-IF(E102="Profit",DIST_FURN,DIST_TOOL))*FX_PEG*LANDED_MULT,0),"")</f>
        <v/>
      </c>
      <c r="Q102" s="8" t="inlineStr">
        <is>
          <t>https://www.daraz.com.np/products/ikonic-professional-ceramic-hair-straightner-i109647183.html</t>
        </is>
      </c>
      <c r="R102" s="8" t="inlineStr">
        <is>
          <t>High - daily styling + festival peaks</t>
        </is>
      </c>
      <c r="S102" s="8" t="inlineStr">
        <is>
          <t>High - price-transparent on Daraz</t>
        </is>
      </c>
      <c r="T102" s="15">
        <f>IF(E102="Profit",1,IF(O102&gt;2500,2,3))</f>
        <v/>
      </c>
      <c r="U102" s="8" t="inlineStr">
        <is>
          <t>One-pass demo on Nepali hair texture; plate close-up for authenticity</t>
        </is>
      </c>
      <c r="V102" s="8" t="inlineStr">
        <is>
          <t>India list and Daraz Nepal price both confirmed on live pages during research.</t>
        </is>
      </c>
      <c r="W102" s="16">
        <f>IFERROR(ROUND(MIN(10,O102/1500)*IF(E102="Profit",1.4,1),2),"")</f>
        <v/>
      </c>
    </row>
    <row r="103" ht="30" customHeight="1">
      <c r="A103" s="10" t="inlineStr">
        <is>
          <t>ETP-099</t>
        </is>
      </c>
      <c r="B103" s="8" t="inlineStr">
        <is>
          <t>Ikonic Professional Vibe+  Hair Straightener</t>
        </is>
      </c>
      <c r="C103" s="10" t="inlineStr">
        <is>
          <t>Ikonic</t>
        </is>
      </c>
      <c r="D103" s="10" t="inlineStr">
        <is>
          <t>Straighteners</t>
        </is>
      </c>
      <c r="E103" s="10" t="inlineStr">
        <is>
          <t>Traffic</t>
        </is>
      </c>
      <c r="F103" s="10" t="inlineStr">
        <is>
          <t>D2C</t>
        </is>
      </c>
      <c r="G103" s="8" t="inlineStr">
        <is>
          <t>Women 18-35, daily styling, wedding &amp; festival season</t>
        </is>
      </c>
      <c r="H103" s="11" t="n">
        <v>3200</v>
      </c>
      <c r="I103" s="11" t="n">
        <v>6400</v>
      </c>
      <c r="J103" s="11" t="n"/>
      <c r="K103" s="12" t="inlineStr">
        <is>
          <t>NO-NEPAL-LISTING</t>
        </is>
      </c>
      <c r="L103" s="13">
        <f>IF(J103&gt;0,J103,ROUND(P103/(1-M103),-1))</f>
        <v/>
      </c>
      <c r="M103" s="14" t="n">
        <v>0.275</v>
      </c>
      <c r="N103" s="13">
        <f>ROUND(L103*(1-M103),0)</f>
        <v/>
      </c>
      <c r="O103" s="13">
        <f>L103-N103</f>
        <v/>
      </c>
      <c r="P103" s="13">
        <f>IF(H103&gt;0,ROUND(H103*(1-IF(E103="Profit",DIST_FURN,DIST_TOOL))*FX_PEG*LANDED_MULT,0),"")</f>
        <v/>
      </c>
      <c r="Q103" s="8" t="inlineStr">
        <is>
          <t>https://www.ikonicworld.com/products/vibe-hair-straightener</t>
        </is>
      </c>
      <c r="R103" s="8" t="inlineStr">
        <is>
          <t>High - daily styling + festival peaks</t>
        </is>
      </c>
      <c r="S103" s="8" t="inlineStr">
        <is>
          <t>High - price-transparent on Daraz</t>
        </is>
      </c>
      <c r="T103" s="15">
        <f>IF(E103="Profit",1,IF(O103&gt;2500,2,3))</f>
        <v/>
      </c>
      <c r="U103" s="8" t="inlineStr">
        <is>
          <t>One-pass demo on Nepali hair texture; plate close-up for authenticity</t>
        </is>
      </c>
      <c r="V103" s="8" t="inlineStr">
        <is>
          <t>No Daraz Nepal listing found. Price set from landed cost + target margin. You set the anchor here.</t>
        </is>
      </c>
      <c r="W103" s="16">
        <f>IFERROR(ROUND(MIN(10,O103/1500)*IF(E103="Profit",1.4,1),2),"")</f>
        <v/>
      </c>
    </row>
    <row r="104" ht="30" customHeight="1">
      <c r="A104" s="10" t="inlineStr">
        <is>
          <t>ETP-100</t>
        </is>
      </c>
      <c r="B104" s="8" t="inlineStr">
        <is>
          <t>Ikonic Professional Glam Hair Straightener</t>
        </is>
      </c>
      <c r="C104" s="10" t="inlineStr">
        <is>
          <t>Ikonic</t>
        </is>
      </c>
      <c r="D104" s="10" t="inlineStr">
        <is>
          <t>Straighteners</t>
        </is>
      </c>
      <c r="E104" s="10" t="inlineStr">
        <is>
          <t>Traffic</t>
        </is>
      </c>
      <c r="F104" s="10" t="inlineStr">
        <is>
          <t>D2C</t>
        </is>
      </c>
      <c r="G104" s="8" t="inlineStr">
        <is>
          <t>Women 18-35, daily styling, wedding &amp; festival season</t>
        </is>
      </c>
      <c r="H104" s="11" t="n">
        <v>2975</v>
      </c>
      <c r="I104" s="11" t="n">
        <v>4250</v>
      </c>
      <c r="J104" s="11" t="n"/>
      <c r="K104" s="12" t="inlineStr">
        <is>
          <t>NO-NEPAL-LISTING</t>
        </is>
      </c>
      <c r="L104" s="13">
        <f>IF(J104&gt;0,J104,ROUND(P104/(1-M104),-1))</f>
        <v/>
      </c>
      <c r="M104" s="14" t="n">
        <v>0.275</v>
      </c>
      <c r="N104" s="13">
        <f>ROUND(L104*(1-M104),0)</f>
        <v/>
      </c>
      <c r="O104" s="13">
        <f>L104-N104</f>
        <v/>
      </c>
      <c r="P104" s="13">
        <f>IF(H104&gt;0,ROUND(H104*(1-IF(E104="Profit",DIST_FURN,DIST_TOOL))*FX_PEG*LANDED_MULT,0),"")</f>
        <v/>
      </c>
      <c r="Q104" s="8" t="inlineStr">
        <is>
          <t>https://www.ikonicworld.com/products/ikonic-glam-hair-straightener</t>
        </is>
      </c>
      <c r="R104" s="8" t="inlineStr">
        <is>
          <t>High - daily styling + festival peaks</t>
        </is>
      </c>
      <c r="S104" s="8" t="inlineStr">
        <is>
          <t>High - price-transparent on Daraz</t>
        </is>
      </c>
      <c r="T104" s="15">
        <f>IF(E104="Profit",1,IF(O104&gt;2500,2,3))</f>
        <v/>
      </c>
      <c r="U104" s="8" t="inlineStr">
        <is>
          <t>One-pass demo on Nepali hair texture; plate close-up for authenticity</t>
        </is>
      </c>
      <c r="V104" s="8" t="inlineStr">
        <is>
          <t>No Daraz Nepal listing found. Price set from landed cost + target margin. You set the anchor here.</t>
        </is>
      </c>
      <c r="W104" s="16">
        <f>IFERROR(ROUND(MIN(10,O104/1500)*IF(E104="Profit",1.4,1),2),"")</f>
        <v/>
      </c>
    </row>
    <row r="105" ht="30" customHeight="1">
      <c r="A105" s="10" t="inlineStr">
        <is>
          <t>ETP-101</t>
        </is>
      </c>
      <c r="B105" s="8" t="inlineStr">
        <is>
          <t>Ikonic Professional Vibe Hair Straightener</t>
        </is>
      </c>
      <c r="C105" s="10" t="inlineStr">
        <is>
          <t>Ikonic</t>
        </is>
      </c>
      <c r="D105" s="10" t="inlineStr">
        <is>
          <t>Straighteners</t>
        </is>
      </c>
      <c r="E105" s="10" t="inlineStr">
        <is>
          <t>Traffic</t>
        </is>
      </c>
      <c r="F105" s="10" t="inlineStr">
        <is>
          <t>D2C</t>
        </is>
      </c>
      <c r="G105" s="8" t="inlineStr">
        <is>
          <t>Women 18-35, daily styling, wedding &amp; festival season</t>
        </is>
      </c>
      <c r="H105" s="11" t="n">
        <v>2950</v>
      </c>
      <c r="I105" s="11" t="n">
        <v>5900</v>
      </c>
      <c r="J105" s="11" t="n"/>
      <c r="K105" s="12" t="inlineStr">
        <is>
          <t>NO-NEPAL-LISTING</t>
        </is>
      </c>
      <c r="L105" s="13">
        <f>IF(J105&gt;0,J105,ROUND(P105/(1-M105),-1))</f>
        <v/>
      </c>
      <c r="M105" s="14" t="n">
        <v>0.275</v>
      </c>
      <c r="N105" s="13">
        <f>ROUND(L105*(1-M105),0)</f>
        <v/>
      </c>
      <c r="O105" s="13">
        <f>L105-N105</f>
        <v/>
      </c>
      <c r="P105" s="13">
        <f>IF(H105&gt;0,ROUND(H105*(1-IF(E105="Profit",DIST_FURN,DIST_TOOL))*FX_PEG*LANDED_MULT,0),"")</f>
        <v/>
      </c>
      <c r="Q105" s="8" t="inlineStr">
        <is>
          <t>https://www.ikonicworld.com/products/vibe-hair-straightener-white</t>
        </is>
      </c>
      <c r="R105" s="8" t="inlineStr">
        <is>
          <t>High - daily styling + festival peaks</t>
        </is>
      </c>
      <c r="S105" s="8" t="inlineStr">
        <is>
          <t>High - price-transparent on Daraz</t>
        </is>
      </c>
      <c r="T105" s="15">
        <f>IF(E105="Profit",1,IF(O105&gt;2500,2,3))</f>
        <v/>
      </c>
      <c r="U105" s="8" t="inlineStr">
        <is>
          <t>One-pass demo on Nepali hair texture; plate close-up for authenticity</t>
        </is>
      </c>
      <c r="V105" s="8" t="inlineStr">
        <is>
          <t>No Daraz Nepal listing found. Price set from landed cost + target margin. You set the anchor here.</t>
        </is>
      </c>
      <c r="W105" s="16">
        <f>IFERROR(ROUND(MIN(10,O105/1500)*IF(E105="Profit",1.4,1),2),"")</f>
        <v/>
      </c>
    </row>
    <row r="106" ht="30" customHeight="1">
      <c r="A106" s="10" t="inlineStr">
        <is>
          <t>ETP-102</t>
        </is>
      </c>
      <c r="B106" s="8" t="inlineStr">
        <is>
          <t>Ikonic Professional Pro Slim Hair Straightener</t>
        </is>
      </c>
      <c r="C106" s="10" t="inlineStr">
        <is>
          <t>Ikonic</t>
        </is>
      </c>
      <c r="D106" s="10" t="inlineStr">
        <is>
          <t>Straighteners</t>
        </is>
      </c>
      <c r="E106" s="10" t="inlineStr">
        <is>
          <t>Traffic</t>
        </is>
      </c>
      <c r="F106" s="10" t="inlineStr">
        <is>
          <t>D2C</t>
        </is>
      </c>
      <c r="G106" s="8" t="inlineStr">
        <is>
          <t>Women 18-35, daily styling, wedding &amp; festival season</t>
        </is>
      </c>
      <c r="H106" s="11" t="n">
        <v>2400</v>
      </c>
      <c r="I106" s="11" t="n">
        <v>4000</v>
      </c>
      <c r="J106" s="11" t="n"/>
      <c r="K106" s="12" t="inlineStr">
        <is>
          <t>NO-NEPAL-LISTING</t>
        </is>
      </c>
      <c r="L106" s="13">
        <f>IF(J106&gt;0,J106,ROUND(P106/(1-M106),-1))</f>
        <v/>
      </c>
      <c r="M106" s="14" t="n">
        <v>0.275</v>
      </c>
      <c r="N106" s="13">
        <f>ROUND(L106*(1-M106),0)</f>
        <v/>
      </c>
      <c r="O106" s="13">
        <f>L106-N106</f>
        <v/>
      </c>
      <c r="P106" s="13">
        <f>IF(H106&gt;0,ROUND(H106*(1-IF(E106="Profit",DIST_FURN,DIST_TOOL))*FX_PEG*LANDED_MULT,0),"")</f>
        <v/>
      </c>
      <c r="Q106" s="8" t="inlineStr">
        <is>
          <t>https://www.ikonicworld.com/products/pro-slim</t>
        </is>
      </c>
      <c r="R106" s="8" t="inlineStr">
        <is>
          <t>High - daily styling + festival peaks</t>
        </is>
      </c>
      <c r="S106" s="8" t="inlineStr">
        <is>
          <t>High - price-transparent on Daraz</t>
        </is>
      </c>
      <c r="T106" s="15">
        <f>IF(E106="Profit",1,IF(O106&gt;2500,2,3))</f>
        <v/>
      </c>
      <c r="U106" s="8" t="inlineStr">
        <is>
          <t>One-pass demo on Nepali hair texture; plate close-up for authenticity</t>
        </is>
      </c>
      <c r="V106" s="8" t="inlineStr">
        <is>
          <t>No Daraz Nepal listing found. Price set from landed cost + target margin. You set the anchor here.</t>
        </is>
      </c>
      <c r="W106" s="16">
        <f>IFERROR(ROUND(MIN(10,O106/1500)*IF(E106="Profit",1.4,1),2),"")</f>
        <v/>
      </c>
    </row>
    <row r="107" ht="30" customHeight="1">
      <c r="A107" s="10" t="inlineStr">
        <is>
          <t>ETP-103</t>
        </is>
      </c>
      <c r="B107" s="8" t="inlineStr">
        <is>
          <t>Ikonic Me Xtreme Straight Hair Straightener</t>
        </is>
      </c>
      <c r="C107" s="10" t="inlineStr">
        <is>
          <t>Ikonic</t>
        </is>
      </c>
      <c r="D107" s="10" t="inlineStr">
        <is>
          <t>Straighteners</t>
        </is>
      </c>
      <c r="E107" s="10" t="inlineStr">
        <is>
          <t>Traffic</t>
        </is>
      </c>
      <c r="F107" s="10" t="inlineStr">
        <is>
          <t>D2C</t>
        </is>
      </c>
      <c r="G107" s="8" t="inlineStr">
        <is>
          <t>Women 18-35, daily styling, wedding &amp; festival season</t>
        </is>
      </c>
      <c r="H107" s="11" t="n">
        <v>2291</v>
      </c>
      <c r="I107" s="11" t="n">
        <v>3525</v>
      </c>
      <c r="J107" s="11" t="n">
        <v>4800</v>
      </c>
      <c r="K107" s="17" t="inlineStr">
        <is>
          <t>LIKELY-MATCH</t>
        </is>
      </c>
      <c r="L107" s="13">
        <f>IF(J107&gt;0,J107,ROUND(P107/(1-M107),-1))</f>
        <v/>
      </c>
      <c r="M107" s="14" t="n">
        <v>0.275</v>
      </c>
      <c r="N107" s="13">
        <f>ROUND(L107*(1-M107),0)</f>
        <v/>
      </c>
      <c r="O107" s="13">
        <f>L107-N107</f>
        <v/>
      </c>
      <c r="P107" s="13">
        <f>IF(H107&gt;0,ROUND(H107*(1-IF(E107="Profit",DIST_FURN,DIST_TOOL))*FX_PEG*LANDED_MULT,0),"")</f>
        <v/>
      </c>
      <c r="Q107" s="8" t="inlineStr">
        <is>
          <t>https://www.daraz.com.np/products/ikonic-xtreme-hair-straightners-me-xtreme-straight-stonesilver-by-ikonic-i1544770563.html</t>
        </is>
      </c>
      <c r="R107" s="8" t="inlineStr">
        <is>
          <t>High - daily styling + festival peaks</t>
        </is>
      </c>
      <c r="S107" s="8" t="inlineStr">
        <is>
          <t>High - price-transparent on Daraz</t>
        </is>
      </c>
      <c r="T107" s="15">
        <f>IF(E107="Profit",1,IF(O107&gt;2500,2,3))</f>
        <v/>
      </c>
      <c r="U107" s="8" t="inlineStr">
        <is>
          <t>One-pass demo on Nepali hair texture; plate close-up for authenticity</t>
        </is>
      </c>
      <c r="V107" s="8" t="inlineStr">
        <is>
          <t>Name-matched to Daraz listing "IKONIC Xtreme Hair Straightners (Me Xtreme Straight (Sto". Open the link and confirm same model before pricing.</t>
        </is>
      </c>
      <c r="W107" s="16">
        <f>IFERROR(ROUND(MIN(10,O107/1500)*IF(E107="Profit",1.4,1),2),"")</f>
        <v/>
      </c>
    </row>
    <row r="108" ht="30" customHeight="1">
      <c r="A108" s="10" t="inlineStr">
        <is>
          <t>ETP-104</t>
        </is>
      </c>
      <c r="B108" s="8" t="inlineStr">
        <is>
          <t>Ikonic me Black Beauty Hair Straightener by Ikonic</t>
        </is>
      </c>
      <c r="C108" s="10" t="inlineStr">
        <is>
          <t>Ikonic</t>
        </is>
      </c>
      <c r="D108" s="10" t="inlineStr">
        <is>
          <t>Straighteners</t>
        </is>
      </c>
      <c r="E108" s="10" t="inlineStr">
        <is>
          <t>Traffic</t>
        </is>
      </c>
      <c r="F108" s="10" t="inlineStr">
        <is>
          <t>D2C</t>
        </is>
      </c>
      <c r="G108" s="8" t="inlineStr">
        <is>
          <t>Women 18-35, daily styling, wedding &amp; festival season</t>
        </is>
      </c>
      <c r="H108" s="11" t="n"/>
      <c r="I108" s="11" t="n"/>
      <c r="J108" s="11" t="n">
        <v>3500</v>
      </c>
      <c r="K108" s="12" t="inlineStr">
        <is>
          <t>VERIFIED</t>
        </is>
      </c>
      <c r="L108" s="13">
        <f>IF(J108&gt;0,J108,ROUND(P108/(1-M108),-1))</f>
        <v/>
      </c>
      <c r="M108" s="14" t="n">
        <v>0.275</v>
      </c>
      <c r="N108" s="13">
        <f>ROUND(L108*(1-M108),0)</f>
        <v/>
      </c>
      <c r="O108" s="13">
        <f>L108-N108</f>
        <v/>
      </c>
      <c r="P108" s="13">
        <f>IF(H108&gt;0,ROUND(H108*(1-IF(E108="Profit",DIST_FURN,DIST_TOOL))*FX_PEG*LANDED_MULT,0),"")</f>
        <v/>
      </c>
      <c r="Q108" s="8" t="inlineStr">
        <is>
          <t>https://www.daraz.com.np/products/ikonic-me-black-beauty-hair-straightener-by-ikonic-i173947007.html</t>
        </is>
      </c>
      <c r="R108" s="8" t="inlineStr">
        <is>
          <t>High - daily styling + festival peaks</t>
        </is>
      </c>
      <c r="S108" s="8" t="inlineStr">
        <is>
          <t>High - price-transparent on Daraz</t>
        </is>
      </c>
      <c r="T108" s="15">
        <f>IF(E108="Profit",1,IF(O108&gt;2500,2,3))</f>
        <v/>
      </c>
      <c r="U108" s="8" t="inlineStr">
        <is>
          <t>One-pass demo on Nepali hair texture; plate close-up for authenticity</t>
        </is>
      </c>
      <c r="V108" s="8" t="inlineStr">
        <is>
          <t>India list and Daraz Nepal price both confirmed on live pages during research.</t>
        </is>
      </c>
      <c r="W108" s="16">
        <f>IFERROR(ROUND(MIN(10,O108/1500)*IF(E108="Profit",1.4,1),2),"")</f>
        <v/>
      </c>
    </row>
    <row r="109" ht="30" customHeight="1">
      <c r="A109" s="10" t="inlineStr">
        <is>
          <t>ETP-105</t>
        </is>
      </c>
      <c r="B109" s="8" t="inlineStr">
        <is>
          <t>Ikonic Black Beauty Hair Straightener by Genuine Collction</t>
        </is>
      </c>
      <c r="C109" s="10" t="inlineStr">
        <is>
          <t>Ikonic</t>
        </is>
      </c>
      <c r="D109" s="10" t="inlineStr">
        <is>
          <t>Straighteners</t>
        </is>
      </c>
      <c r="E109" s="10" t="inlineStr">
        <is>
          <t>Traffic</t>
        </is>
      </c>
      <c r="F109" s="10" t="inlineStr">
        <is>
          <t>D2C</t>
        </is>
      </c>
      <c r="G109" s="8" t="inlineStr">
        <is>
          <t>Women 18-35, daily styling, wedding &amp; festival season</t>
        </is>
      </c>
      <c r="H109" s="11" t="n"/>
      <c r="I109" s="11" t="n"/>
      <c r="J109" s="11" t="n">
        <v>3250</v>
      </c>
      <c r="K109" s="12" t="inlineStr">
        <is>
          <t>VERIFIED</t>
        </is>
      </c>
      <c r="L109" s="13">
        <f>IF(J109&gt;0,J109,ROUND(P109/(1-M109),-1))</f>
        <v/>
      </c>
      <c r="M109" s="14" t="n">
        <v>0.275</v>
      </c>
      <c r="N109" s="13">
        <f>ROUND(L109*(1-M109),0)</f>
        <v/>
      </c>
      <c r="O109" s="13">
        <f>L109-N109</f>
        <v/>
      </c>
      <c r="P109" s="13">
        <f>IF(H109&gt;0,ROUND(H109*(1-IF(E109="Profit",DIST_FURN,DIST_TOOL))*FX_PEG*LANDED_MULT,0),"")</f>
        <v/>
      </c>
      <c r="Q109" s="8" t="inlineStr">
        <is>
          <t>https://www.daraz.com.np/products/ikonic-black-beauty-hair-straightener-by-genuine-collction-i155353160.html</t>
        </is>
      </c>
      <c r="R109" s="8" t="inlineStr">
        <is>
          <t>High - daily styling + festival peaks</t>
        </is>
      </c>
      <c r="S109" s="8" t="inlineStr">
        <is>
          <t>High - price-transparent on Daraz</t>
        </is>
      </c>
      <c r="T109" s="15">
        <f>IF(E109="Profit",1,IF(O109&gt;2500,2,3))</f>
        <v/>
      </c>
      <c r="U109" s="8" t="inlineStr">
        <is>
          <t>One-pass demo on Nepali hair texture; plate close-up for authenticity</t>
        </is>
      </c>
      <c r="V109" s="8" t="inlineStr">
        <is>
          <t>India list and Daraz Nepal price both confirmed on live pages during research.</t>
        </is>
      </c>
      <c r="W109" s="16">
        <f>IFERROR(ROUND(MIN(10,O109/1500)*IF(E109="Profit",1.4,1),2),"")</f>
        <v/>
      </c>
    </row>
    <row r="110" ht="30" customHeight="1">
      <c r="A110" s="10" t="inlineStr">
        <is>
          <t>ETP-106</t>
        </is>
      </c>
      <c r="B110" s="8" t="inlineStr">
        <is>
          <t>Ikonic Me Black Beauty Hair Iron Hair Straightener Flat Iron Ceramic Coated Floating 1 inch Pla</t>
        </is>
      </c>
      <c r="C110" s="10" t="inlineStr">
        <is>
          <t>Ikonic</t>
        </is>
      </c>
      <c r="D110" s="10" t="inlineStr">
        <is>
          <t>Straighteners</t>
        </is>
      </c>
      <c r="E110" s="10" t="inlineStr">
        <is>
          <t>Traffic</t>
        </is>
      </c>
      <c r="F110" s="10" t="inlineStr">
        <is>
          <t>D2C</t>
        </is>
      </c>
      <c r="G110" s="8" t="inlineStr">
        <is>
          <t>Women 18-35, daily styling, wedding &amp; festival season</t>
        </is>
      </c>
      <c r="H110" s="11" t="n"/>
      <c r="I110" s="11" t="n"/>
      <c r="J110" s="11" t="n">
        <v>3220</v>
      </c>
      <c r="K110" s="12" t="inlineStr">
        <is>
          <t>VERIFIED</t>
        </is>
      </c>
      <c r="L110" s="13">
        <f>IF(J110&gt;0,J110,ROUND(P110/(1-M110),-1))</f>
        <v/>
      </c>
      <c r="M110" s="14" t="n">
        <v>0.275</v>
      </c>
      <c r="N110" s="13">
        <f>ROUND(L110*(1-M110),0)</f>
        <v/>
      </c>
      <c r="O110" s="13">
        <f>L110-N110</f>
        <v/>
      </c>
      <c r="P110" s="13">
        <f>IF(H110&gt;0,ROUND(H110*(1-IF(E110="Profit",DIST_FURN,DIST_TOOL))*FX_PEG*LANDED_MULT,0),"")</f>
        <v/>
      </c>
      <c r="Q110" s="8" t="inlineStr">
        <is>
          <t>https://www.daraz.com.np/products/ikonic-me-black-beauty-hair-iron-hair-straightener-flat-iron-ceramic-coated-floating-1-inch-plates-quick-heating-up-to-210-degrees-celcius-i160171636.html</t>
        </is>
      </c>
      <c r="R110" s="8" t="inlineStr">
        <is>
          <t>High - daily styling + festival peaks</t>
        </is>
      </c>
      <c r="S110" s="8" t="inlineStr">
        <is>
          <t>High - price-transparent on Daraz</t>
        </is>
      </c>
      <c r="T110" s="15">
        <f>IF(E110="Profit",1,IF(O110&gt;2500,2,3))</f>
        <v/>
      </c>
      <c r="U110" s="8" t="inlineStr">
        <is>
          <t>One-pass demo on Nepali hair texture; plate close-up for authenticity</t>
        </is>
      </c>
      <c r="V110" s="8" t="inlineStr">
        <is>
          <t>India list and Daraz Nepal price both confirmed on live pages during research.</t>
        </is>
      </c>
      <c r="W110" s="16">
        <f>IFERROR(ROUND(MIN(10,O110/1500)*IF(E110="Profit",1.4,1),2),"")</f>
        <v/>
      </c>
    </row>
    <row r="111" ht="30" customHeight="1">
      <c r="A111" s="10" t="inlineStr">
        <is>
          <t>ETP-107</t>
        </is>
      </c>
      <c r="B111" s="8" t="inlineStr">
        <is>
          <t>The Ultimate Glam &amp; Glide Box</t>
        </is>
      </c>
      <c r="C111" s="10" t="inlineStr">
        <is>
          <t>Ikonic</t>
        </is>
      </c>
      <c r="D111" s="10" t="inlineStr">
        <is>
          <t>Straighteners</t>
        </is>
      </c>
      <c r="E111" s="10" t="inlineStr">
        <is>
          <t>Traffic</t>
        </is>
      </c>
      <c r="F111" s="10" t="inlineStr">
        <is>
          <t>D2C</t>
        </is>
      </c>
      <c r="G111" s="8" t="inlineStr">
        <is>
          <t>Women 18-35, daily styling, wedding &amp; festival season</t>
        </is>
      </c>
      <c r="H111" s="11" t="n">
        <v>1966</v>
      </c>
      <c r="I111" s="11" t="n">
        <v>3024</v>
      </c>
      <c r="J111" s="11" t="n"/>
      <c r="K111" s="12" t="inlineStr">
        <is>
          <t>NO-NEPAL-LISTING</t>
        </is>
      </c>
      <c r="L111" s="13">
        <f>IF(J111&gt;0,J111,ROUND(P111/(1-M111),-1))</f>
        <v/>
      </c>
      <c r="M111" s="14" t="n">
        <v>0.275</v>
      </c>
      <c r="N111" s="13">
        <f>ROUND(L111*(1-M111),0)</f>
        <v/>
      </c>
      <c r="O111" s="13">
        <f>L111-N111</f>
        <v/>
      </c>
      <c r="P111" s="13">
        <f>IF(H111&gt;0,ROUND(H111*(1-IF(E111="Profit",DIST_FURN,DIST_TOOL))*FX_PEG*LANDED_MULT,0),"")</f>
        <v/>
      </c>
      <c r="Q111" s="8" t="inlineStr">
        <is>
          <t>https://www.ikonicworld.com/products/the-ultimate-glam-glide-box</t>
        </is>
      </c>
      <c r="R111" s="8" t="inlineStr">
        <is>
          <t>High - daily styling + festival peaks</t>
        </is>
      </c>
      <c r="S111" s="8" t="inlineStr">
        <is>
          <t>High - price-transparent on Daraz</t>
        </is>
      </c>
      <c r="T111" s="15">
        <f>IF(E111="Profit",1,IF(O111&gt;2500,2,3))</f>
        <v/>
      </c>
      <c r="U111" s="8" t="inlineStr">
        <is>
          <t>One-pass demo on Nepali hair texture; plate close-up for authenticity</t>
        </is>
      </c>
      <c r="V111" s="8" t="inlineStr">
        <is>
          <t>No Daraz Nepal listing found. Price set from landed cost + target margin. You set the anchor here.</t>
        </is>
      </c>
      <c r="W111" s="16">
        <f>IFERROR(ROUND(MIN(10,O111/1500)*IF(E111="Profit",1.4,1),2),"")</f>
        <v/>
      </c>
    </row>
    <row r="112" ht="30" customHeight="1">
      <c r="A112" s="10" t="inlineStr">
        <is>
          <t>ETP-108</t>
        </is>
      </c>
      <c r="B112" s="8" t="inlineStr">
        <is>
          <t>Ikonic Me Simply Straight Hair Straightener</t>
        </is>
      </c>
      <c r="C112" s="10" t="inlineStr">
        <is>
          <t>Ikonic</t>
        </is>
      </c>
      <c r="D112" s="10" t="inlineStr">
        <is>
          <t>Straighteners</t>
        </is>
      </c>
      <c r="E112" s="10" t="inlineStr">
        <is>
          <t>Traffic</t>
        </is>
      </c>
      <c r="F112" s="10" t="inlineStr">
        <is>
          <t>D2C</t>
        </is>
      </c>
      <c r="G112" s="8" t="inlineStr">
        <is>
          <t>Women 18-35, daily styling, wedding &amp; festival season</t>
        </is>
      </c>
      <c r="H112" s="11" t="n">
        <v>1875</v>
      </c>
      <c r="I112" s="11" t="n">
        <v>2885</v>
      </c>
      <c r="J112" s="11" t="n"/>
      <c r="K112" s="12" t="inlineStr">
        <is>
          <t>NO-NEPAL-LISTING</t>
        </is>
      </c>
      <c r="L112" s="13">
        <f>IF(J112&gt;0,J112,ROUND(P112/(1-M112),-1))</f>
        <v/>
      </c>
      <c r="M112" s="14" t="n">
        <v>0.275</v>
      </c>
      <c r="N112" s="13">
        <f>ROUND(L112*(1-M112),0)</f>
        <v/>
      </c>
      <c r="O112" s="13">
        <f>L112-N112</f>
        <v/>
      </c>
      <c r="P112" s="13">
        <f>IF(H112&gt;0,ROUND(H112*(1-IF(E112="Profit",DIST_FURN,DIST_TOOL))*FX_PEG*LANDED_MULT,0),"")</f>
        <v/>
      </c>
      <c r="Q112" s="8" t="inlineStr">
        <is>
          <t>https://www.ikonicworld.com/products/ikonic-simply-straight-hair-straightener-black-golden</t>
        </is>
      </c>
      <c r="R112" s="8" t="inlineStr">
        <is>
          <t>High - daily styling + festival peaks</t>
        </is>
      </c>
      <c r="S112" s="8" t="inlineStr">
        <is>
          <t>High - price-transparent on Daraz</t>
        </is>
      </c>
      <c r="T112" s="15">
        <f>IF(E112="Profit",1,IF(O112&gt;2500,2,3))</f>
        <v/>
      </c>
      <c r="U112" s="8" t="inlineStr">
        <is>
          <t>One-pass demo on Nepali hair texture; plate close-up for authenticity</t>
        </is>
      </c>
      <c r="V112" s="8" t="inlineStr">
        <is>
          <t>No Daraz Nepal listing found. Price set from landed cost + target margin. You set the anchor here.</t>
        </is>
      </c>
      <c r="W112" s="16">
        <f>IFERROR(ROUND(MIN(10,O112/1500)*IF(E112="Profit",1.4,1),2),"")</f>
        <v/>
      </c>
    </row>
    <row r="113" ht="30" customHeight="1">
      <c r="A113" s="10" t="inlineStr">
        <is>
          <t>ETP-109</t>
        </is>
      </c>
      <c r="B113" s="8" t="inlineStr">
        <is>
          <t>Ikonic Me 2 in 1 Straight and Curl (Wide) Hair Straightener</t>
        </is>
      </c>
      <c r="C113" s="10" t="inlineStr">
        <is>
          <t>Ikonic</t>
        </is>
      </c>
      <c r="D113" s="10" t="inlineStr">
        <is>
          <t>Straighteners</t>
        </is>
      </c>
      <c r="E113" s="10" t="inlineStr">
        <is>
          <t>Traffic</t>
        </is>
      </c>
      <c r="F113" s="10" t="inlineStr">
        <is>
          <t>D2C</t>
        </is>
      </c>
      <c r="G113" s="8" t="inlineStr">
        <is>
          <t>Women 18-35, daily styling, wedding &amp; festival season</t>
        </is>
      </c>
      <c r="H113" s="11" t="n">
        <v>1750</v>
      </c>
      <c r="I113" s="11" t="n">
        <v>2500</v>
      </c>
      <c r="J113" s="11" t="n"/>
      <c r="K113" s="12" t="inlineStr">
        <is>
          <t>NO-NEPAL-LISTING</t>
        </is>
      </c>
      <c r="L113" s="13">
        <f>IF(J113&gt;0,J113,ROUND(P113/(1-M113),-1))</f>
        <v/>
      </c>
      <c r="M113" s="14" t="n">
        <v>0.275</v>
      </c>
      <c r="N113" s="13">
        <f>ROUND(L113*(1-M113),0)</f>
        <v/>
      </c>
      <c r="O113" s="13">
        <f>L113-N113</f>
        <v/>
      </c>
      <c r="P113" s="13">
        <f>IF(H113&gt;0,ROUND(H113*(1-IF(E113="Profit",DIST_FURN,DIST_TOOL))*FX_PEG*LANDED_MULT,0),"")</f>
        <v/>
      </c>
      <c r="Q113" s="8" t="inlineStr">
        <is>
          <t>https://www.ikonicworld.com/products/2-in-1-staright-n-curl-wide</t>
        </is>
      </c>
      <c r="R113" s="8" t="inlineStr">
        <is>
          <t>High - daily styling + festival peaks</t>
        </is>
      </c>
      <c r="S113" s="8" t="inlineStr">
        <is>
          <t>High - price-transparent on Daraz</t>
        </is>
      </c>
      <c r="T113" s="15">
        <f>IF(E113="Profit",1,IF(O113&gt;2500,2,3))</f>
        <v/>
      </c>
      <c r="U113" s="8" t="inlineStr">
        <is>
          <t>One-pass demo on Nepali hair texture; plate close-up for authenticity</t>
        </is>
      </c>
      <c r="V113" s="8" t="inlineStr">
        <is>
          <t>No Daraz Nepal listing found. Price set from landed cost + target margin. You set the anchor here.</t>
        </is>
      </c>
      <c r="W113" s="16">
        <f>IFERROR(ROUND(MIN(10,O113/1500)*IF(E113="Profit",1.4,1),2),"")</f>
        <v/>
      </c>
    </row>
    <row r="114" ht="30" customHeight="1">
      <c r="A114" s="10" t="inlineStr">
        <is>
          <t>ETP-110</t>
        </is>
      </c>
      <c r="B114" s="8" t="inlineStr">
        <is>
          <t>Ikonic Me Hair Straightener Glide</t>
        </is>
      </c>
      <c r="C114" s="10" t="inlineStr">
        <is>
          <t>Ikonic</t>
        </is>
      </c>
      <c r="D114" s="10" t="inlineStr">
        <is>
          <t>Straighteners</t>
        </is>
      </c>
      <c r="E114" s="10" t="inlineStr">
        <is>
          <t>Traffic</t>
        </is>
      </c>
      <c r="F114" s="10" t="inlineStr">
        <is>
          <t>D2C</t>
        </is>
      </c>
      <c r="G114" s="8" t="inlineStr">
        <is>
          <t>Women 18-35, daily styling, wedding &amp; festival season</t>
        </is>
      </c>
      <c r="H114" s="11" t="n">
        <v>1365</v>
      </c>
      <c r="I114" s="11" t="n">
        <v>2100</v>
      </c>
      <c r="J114" s="11" t="n"/>
      <c r="K114" s="12" t="inlineStr">
        <is>
          <t>NO-NEPAL-LISTING</t>
        </is>
      </c>
      <c r="L114" s="13">
        <f>IF(J114&gt;0,J114,ROUND(P114/(1-M114),-1))</f>
        <v/>
      </c>
      <c r="M114" s="14" t="n">
        <v>0.275</v>
      </c>
      <c r="N114" s="13">
        <f>ROUND(L114*(1-M114),0)</f>
        <v/>
      </c>
      <c r="O114" s="13">
        <f>L114-N114</f>
        <v/>
      </c>
      <c r="P114" s="13">
        <f>IF(H114&gt;0,ROUND(H114*(1-IF(E114="Profit",DIST_FURN,DIST_TOOL))*FX_PEG*LANDED_MULT,0),"")</f>
        <v/>
      </c>
      <c r="Q114" s="8" t="inlineStr">
        <is>
          <t>https://www.ikonicworld.com/products/ikonic-me-hair-straightener-glide</t>
        </is>
      </c>
      <c r="R114" s="8" t="inlineStr">
        <is>
          <t>High - daily styling + festival peaks</t>
        </is>
      </c>
      <c r="S114" s="8" t="inlineStr">
        <is>
          <t>High - price-transparent on Daraz</t>
        </is>
      </c>
      <c r="T114" s="15">
        <f>IF(E114="Profit",1,IF(O114&gt;2500,2,3))</f>
        <v/>
      </c>
      <c r="U114" s="8" t="inlineStr">
        <is>
          <t>One-pass demo on Nepali hair texture; plate close-up for authenticity</t>
        </is>
      </c>
      <c r="V114" s="8" t="inlineStr">
        <is>
          <t>No Daraz Nepal listing found. Price set from landed cost + target margin. You set the anchor here.</t>
        </is>
      </c>
      <c r="W114" s="16">
        <f>IFERROR(ROUND(MIN(10,O114/1500)*IF(E114="Profit",1.4,1),2),"")</f>
        <v/>
      </c>
    </row>
    <row r="115" ht="30" customHeight="1">
      <c r="A115" s="10" t="inlineStr">
        <is>
          <t>ETP-111</t>
        </is>
      </c>
      <c r="B115" s="8" t="inlineStr">
        <is>
          <t>Ikonic Me Black beauty Hair Straightener</t>
        </is>
      </c>
      <c r="C115" s="10" t="inlineStr">
        <is>
          <t>Ikonic</t>
        </is>
      </c>
      <c r="D115" s="10" t="inlineStr">
        <is>
          <t>Straighteners</t>
        </is>
      </c>
      <c r="E115" s="10" t="inlineStr">
        <is>
          <t>Traffic</t>
        </is>
      </c>
      <c r="F115" s="10" t="inlineStr">
        <is>
          <t>D2C</t>
        </is>
      </c>
      <c r="G115" s="8" t="inlineStr">
        <is>
          <t>Women 18-35, daily styling, wedding &amp; festival season</t>
        </is>
      </c>
      <c r="H115" s="11" t="n">
        <v>1203</v>
      </c>
      <c r="I115" s="11" t="n">
        <v>1850</v>
      </c>
      <c r="J115" s="11" t="n"/>
      <c r="K115" s="12" t="inlineStr">
        <is>
          <t>NO-NEPAL-LISTING</t>
        </is>
      </c>
      <c r="L115" s="13">
        <f>IF(J115&gt;0,J115,ROUND(P115/(1-M115),-1))</f>
        <v/>
      </c>
      <c r="M115" s="14" t="n">
        <v>0.275</v>
      </c>
      <c r="N115" s="13">
        <f>ROUND(L115*(1-M115),0)</f>
        <v/>
      </c>
      <c r="O115" s="13">
        <f>L115-N115</f>
        <v/>
      </c>
      <c r="P115" s="13">
        <f>IF(H115&gt;0,ROUND(H115*(1-IF(E115="Profit",DIST_FURN,DIST_TOOL))*FX_PEG*LANDED_MULT,0),"")</f>
        <v/>
      </c>
      <c r="Q115" s="8" t="inlineStr">
        <is>
          <t>https://www.ikonicworld.com/products/ikonic-me-black-beauty-hair-iron</t>
        </is>
      </c>
      <c r="R115" s="8" t="inlineStr">
        <is>
          <t>High - daily styling + festival peaks</t>
        </is>
      </c>
      <c r="S115" s="8" t="inlineStr">
        <is>
          <t>High - price-transparent on Daraz</t>
        </is>
      </c>
      <c r="T115" s="15">
        <f>IF(E115="Profit",1,IF(O115&gt;2500,2,3))</f>
        <v/>
      </c>
      <c r="U115" s="8" t="inlineStr">
        <is>
          <t>One-pass demo on Nepali hair texture; plate close-up for authenticity</t>
        </is>
      </c>
      <c r="V115" s="8" t="inlineStr">
        <is>
          <t>No Daraz Nepal listing found. Price set from landed cost + target margin. You set the anchor here.</t>
        </is>
      </c>
      <c r="W115" s="16">
        <f>IFERROR(ROUND(MIN(10,O115/1500)*IF(E115="Profit",1.4,1),2),"")</f>
        <v/>
      </c>
    </row>
    <row r="116" ht="30" customHeight="1">
      <c r="A116" s="10" t="inlineStr">
        <is>
          <t>ETP-112</t>
        </is>
      </c>
      <c r="B116" s="8" t="inlineStr">
        <is>
          <t>Ikonic Professional Id 2.0 Hair Dryer</t>
        </is>
      </c>
      <c r="C116" s="10" t="inlineStr">
        <is>
          <t>Ikonic</t>
        </is>
      </c>
      <c r="D116" s="10" t="inlineStr">
        <is>
          <t>Hair Dryers</t>
        </is>
      </c>
      <c r="E116" s="10" t="inlineStr">
        <is>
          <t>Traffic</t>
        </is>
      </c>
      <c r="F116" s="10" t="inlineStr">
        <is>
          <t>D2C</t>
        </is>
      </c>
      <c r="G116" s="8" t="inlineStr">
        <is>
          <t>Salon owner + home user who blow-dries weekly</t>
        </is>
      </c>
      <c r="H116" s="11" t="n">
        <v>12000</v>
      </c>
      <c r="I116" s="11" t="n">
        <v>20000</v>
      </c>
      <c r="J116" s="11" t="n"/>
      <c r="K116" s="12" t="inlineStr">
        <is>
          <t>NO-NEPAL-LISTING</t>
        </is>
      </c>
      <c r="L116" s="13">
        <f>IF(J116&gt;0,J116,ROUND(P116/(1-M116),-1))</f>
        <v/>
      </c>
      <c r="M116" s="14" t="n">
        <v>0.275</v>
      </c>
      <c r="N116" s="13">
        <f>ROUND(L116*(1-M116),0)</f>
        <v/>
      </c>
      <c r="O116" s="13">
        <f>L116-N116</f>
        <v/>
      </c>
      <c r="P116" s="13">
        <f>IF(H116&gt;0,ROUND(H116*(1-IF(E116="Profit",DIST_FURN,DIST_TOOL))*FX_PEG*LANDED_MULT,0),"")</f>
        <v/>
      </c>
      <c r="Q116" s="8" t="inlineStr">
        <is>
          <t>https://www.ikonicworld.com/products/ikonic-id-hair-dryer-2-0</t>
        </is>
      </c>
      <c r="R116" s="8" t="inlineStr">
        <is>
          <t>High - daily styling + festival peaks</t>
        </is>
      </c>
      <c r="S116" s="8" t="inlineStr">
        <is>
          <t>High - price-transparent on Daraz</t>
        </is>
      </c>
      <c r="T116" s="15">
        <f>IF(E116="Profit",1,IF(O116&gt;2500,2,3))</f>
        <v/>
      </c>
      <c r="U116" s="8" t="inlineStr">
        <is>
          <t>Drying-time race vs a cheap dryer; noise + heat-damage proof</t>
        </is>
      </c>
      <c r="V116" s="8" t="inlineStr">
        <is>
          <t>No Daraz Nepal listing found. Price set from landed cost + target margin. You set the anchor here.</t>
        </is>
      </c>
      <c r="W116" s="16">
        <f>IFERROR(ROUND(MIN(10,O116/1500)*IF(E116="Profit",1.4,1),2),"")</f>
        <v/>
      </c>
    </row>
    <row r="117" ht="30" customHeight="1">
      <c r="A117" s="10" t="inlineStr">
        <is>
          <t>ETP-113</t>
        </is>
      </c>
      <c r="B117" s="8" t="inlineStr">
        <is>
          <t>Ikonic Professional ID 2.0 Hair Dryer (Ash Grey) + Free Stand</t>
        </is>
      </c>
      <c r="C117" s="10" t="inlineStr">
        <is>
          <t>Ikonic</t>
        </is>
      </c>
      <c r="D117" s="10" t="inlineStr">
        <is>
          <t>Hair Dryers</t>
        </is>
      </c>
      <c r="E117" s="10" t="inlineStr">
        <is>
          <t>Traffic</t>
        </is>
      </c>
      <c r="F117" s="10" t="inlineStr">
        <is>
          <t>D2C</t>
        </is>
      </c>
      <c r="G117" s="8" t="inlineStr">
        <is>
          <t>Salon owner + home user who blow-dries weekly</t>
        </is>
      </c>
      <c r="H117" s="11" t="n">
        <v>10000</v>
      </c>
      <c r="I117" s="11" t="n">
        <v>20000</v>
      </c>
      <c r="J117" s="11" t="n"/>
      <c r="K117" s="12" t="inlineStr">
        <is>
          <t>NO-NEPAL-LISTING</t>
        </is>
      </c>
      <c r="L117" s="13">
        <f>IF(J117&gt;0,J117,ROUND(P117/(1-M117),-1))</f>
        <v/>
      </c>
      <c r="M117" s="14" t="n">
        <v>0.275</v>
      </c>
      <c r="N117" s="13">
        <f>ROUND(L117*(1-M117),0)</f>
        <v/>
      </c>
      <c r="O117" s="13">
        <f>L117-N117</f>
        <v/>
      </c>
      <c r="P117" s="13">
        <f>IF(H117&gt;0,ROUND(H117*(1-IF(E117="Profit",DIST_FURN,DIST_TOOL))*FX_PEG*LANDED_MULT,0),"")</f>
        <v/>
      </c>
      <c r="Q117" s="8" t="inlineStr">
        <is>
          <t>https://www.ikonicworld.com/products/ikonic-professional-id-2-0-hair-dryer-copy</t>
        </is>
      </c>
      <c r="R117" s="8" t="inlineStr">
        <is>
          <t>High - daily styling + festival peaks</t>
        </is>
      </c>
      <c r="S117" s="8" t="inlineStr">
        <is>
          <t>High - price-transparent on Daraz</t>
        </is>
      </c>
      <c r="T117" s="15">
        <f>IF(E117="Profit",1,IF(O117&gt;2500,2,3))</f>
        <v/>
      </c>
      <c r="U117" s="8" t="inlineStr">
        <is>
          <t>Drying-time race vs a cheap dryer; noise + heat-damage proof</t>
        </is>
      </c>
      <c r="V117" s="8" t="inlineStr">
        <is>
          <t>No Daraz Nepal listing found. Price set from landed cost + target margin. You set the anchor here.</t>
        </is>
      </c>
      <c r="W117" s="16">
        <f>IFERROR(ROUND(MIN(10,O117/1500)*IF(E117="Profit",1.4,1),2),"")</f>
        <v/>
      </c>
    </row>
    <row r="118" ht="30" customHeight="1">
      <c r="A118" s="10" t="inlineStr">
        <is>
          <t>ETP-114</t>
        </is>
      </c>
      <c r="B118" s="8" t="inlineStr">
        <is>
          <t>Ikonic Professional Dynamite+ Scarlett Limited Edition Hair Dryer</t>
        </is>
      </c>
      <c r="C118" s="10" t="inlineStr">
        <is>
          <t>Ikonic</t>
        </is>
      </c>
      <c r="D118" s="10" t="inlineStr">
        <is>
          <t>Hair Dryers</t>
        </is>
      </c>
      <c r="E118" s="10" t="inlineStr">
        <is>
          <t>Traffic</t>
        </is>
      </c>
      <c r="F118" s="10" t="inlineStr">
        <is>
          <t>D2C</t>
        </is>
      </c>
      <c r="G118" s="8" t="inlineStr">
        <is>
          <t>Salon owner + home user who blow-dries weekly</t>
        </is>
      </c>
      <c r="H118" s="11" t="n">
        <v>8438</v>
      </c>
      <c r="I118" s="11" t="n">
        <v>11250</v>
      </c>
      <c r="J118" s="11" t="n"/>
      <c r="K118" s="12" t="inlineStr">
        <is>
          <t>NO-NEPAL-LISTING</t>
        </is>
      </c>
      <c r="L118" s="13">
        <f>IF(J118&gt;0,J118,ROUND(P118/(1-M118),-1))</f>
        <v/>
      </c>
      <c r="M118" s="14" t="n">
        <v>0.275</v>
      </c>
      <c r="N118" s="13">
        <f>ROUND(L118*(1-M118),0)</f>
        <v/>
      </c>
      <c r="O118" s="13">
        <f>L118-N118</f>
        <v/>
      </c>
      <c r="P118" s="13">
        <f>IF(H118&gt;0,ROUND(H118*(1-IF(E118="Profit",DIST_FURN,DIST_TOOL))*FX_PEG*LANDED_MULT,0),"")</f>
        <v/>
      </c>
      <c r="Q118" s="8" t="inlineStr">
        <is>
          <t>https://www.ikonicworld.com/products/ikonic-professional-dynamite-scarlett-limited-edition-hair-dryer</t>
        </is>
      </c>
      <c r="R118" s="8" t="inlineStr">
        <is>
          <t>High - daily styling + festival peaks</t>
        </is>
      </c>
      <c r="S118" s="8" t="inlineStr">
        <is>
          <t>High - price-transparent on Daraz</t>
        </is>
      </c>
      <c r="T118" s="15">
        <f>IF(E118="Profit",1,IF(O118&gt;2500,2,3))</f>
        <v/>
      </c>
      <c r="U118" s="8" t="inlineStr">
        <is>
          <t>Drying-time race vs a cheap dryer; noise + heat-damage proof</t>
        </is>
      </c>
      <c r="V118" s="8" t="inlineStr">
        <is>
          <t>No Daraz Nepal listing found. Price set from landed cost + target margin. You set the anchor here.</t>
        </is>
      </c>
      <c r="W118" s="16">
        <f>IFERROR(ROUND(MIN(10,O118/1500)*IF(E118="Profit",1.4,1),2),"")</f>
        <v/>
      </c>
    </row>
    <row r="119" ht="30" customHeight="1">
      <c r="A119" s="10" t="inlineStr">
        <is>
          <t>ETP-115</t>
        </is>
      </c>
      <c r="B119" s="8" t="inlineStr">
        <is>
          <t>Ikonic Professional Dynamite+ Hair Dryer</t>
        </is>
      </c>
      <c r="C119" s="10" t="inlineStr">
        <is>
          <t>Ikonic</t>
        </is>
      </c>
      <c r="D119" s="10" t="inlineStr">
        <is>
          <t>Hair Dryers</t>
        </is>
      </c>
      <c r="E119" s="10" t="inlineStr">
        <is>
          <t>Traffic</t>
        </is>
      </c>
      <c r="F119" s="10" t="inlineStr">
        <is>
          <t>D2C</t>
        </is>
      </c>
      <c r="G119" s="8" t="inlineStr">
        <is>
          <t>Salon owner + home user who blow-dries weekly</t>
        </is>
      </c>
      <c r="H119" s="11" t="n">
        <v>7000</v>
      </c>
      <c r="I119" s="11" t="n">
        <v>10000</v>
      </c>
      <c r="J119" s="11" t="n"/>
      <c r="K119" s="12" t="inlineStr">
        <is>
          <t>NO-NEPAL-LISTING</t>
        </is>
      </c>
      <c r="L119" s="13">
        <f>IF(J119&gt;0,J119,ROUND(P119/(1-M119),-1))</f>
        <v/>
      </c>
      <c r="M119" s="14" t="n">
        <v>0.275</v>
      </c>
      <c r="N119" s="13">
        <f>ROUND(L119*(1-M119),0)</f>
        <v/>
      </c>
      <c r="O119" s="13">
        <f>L119-N119</f>
        <v/>
      </c>
      <c r="P119" s="13">
        <f>IF(H119&gt;0,ROUND(H119*(1-IF(E119="Profit",DIST_FURN,DIST_TOOL))*FX_PEG*LANDED_MULT,0),"")</f>
        <v/>
      </c>
      <c r="Q119" s="8" t="inlineStr">
        <is>
          <t>https://www.ikonicworld.com/products/ikonic-hair-dryer-dynamite-grey</t>
        </is>
      </c>
      <c r="R119" s="8" t="inlineStr">
        <is>
          <t>High - daily styling + festival peaks</t>
        </is>
      </c>
      <c r="S119" s="8" t="inlineStr">
        <is>
          <t>High - price-transparent on Daraz</t>
        </is>
      </c>
      <c r="T119" s="15">
        <f>IF(E119="Profit",1,IF(O119&gt;2500,2,3))</f>
        <v/>
      </c>
      <c r="U119" s="8" t="inlineStr">
        <is>
          <t>Drying-time race vs a cheap dryer; noise + heat-damage proof</t>
        </is>
      </c>
      <c r="V119" s="8" t="inlineStr">
        <is>
          <t>No Daraz Nepal listing found. Price set from landed cost + target margin. You set the anchor here.</t>
        </is>
      </c>
      <c r="W119" s="16">
        <f>IFERROR(ROUND(MIN(10,O119/1500)*IF(E119="Profit",1.4,1),2),"")</f>
        <v/>
      </c>
    </row>
    <row r="120" ht="30" customHeight="1">
      <c r="A120" s="10" t="inlineStr">
        <is>
          <t>ETP-116</t>
        </is>
      </c>
      <c r="B120" s="8" t="inlineStr">
        <is>
          <t>Ikonic Professional Pro 2800+ Hair Dryer</t>
        </is>
      </c>
      <c r="C120" s="10" t="inlineStr">
        <is>
          <t>Ikonic</t>
        </is>
      </c>
      <c r="D120" s="10" t="inlineStr">
        <is>
          <t>Hair Dryers</t>
        </is>
      </c>
      <c r="E120" s="10" t="inlineStr">
        <is>
          <t>Traffic</t>
        </is>
      </c>
      <c r="F120" s="10" t="inlineStr">
        <is>
          <t>D2C</t>
        </is>
      </c>
      <c r="G120" s="8" t="inlineStr">
        <is>
          <t>Salon owner + home user who blow-dries weekly</t>
        </is>
      </c>
      <c r="H120" s="11" t="n">
        <v>6125</v>
      </c>
      <c r="I120" s="11" t="n">
        <v>8750</v>
      </c>
      <c r="J120" s="11" t="n"/>
      <c r="K120" s="12" t="inlineStr">
        <is>
          <t>NO-NEPAL-LISTING</t>
        </is>
      </c>
      <c r="L120" s="13">
        <f>IF(J120&gt;0,J120,ROUND(P120/(1-M120),-1))</f>
        <v/>
      </c>
      <c r="M120" s="14" t="n">
        <v>0.275</v>
      </c>
      <c r="N120" s="13">
        <f>ROUND(L120*(1-M120),0)</f>
        <v/>
      </c>
      <c r="O120" s="13">
        <f>L120-N120</f>
        <v/>
      </c>
      <c r="P120" s="13">
        <f>IF(H120&gt;0,ROUND(H120*(1-IF(E120="Profit",DIST_FURN,DIST_TOOL))*FX_PEG*LANDED_MULT,0),"")</f>
        <v/>
      </c>
      <c r="Q120" s="8" t="inlineStr">
        <is>
          <t>https://www.ikonicworld.com/products/pro-2800-hair-dryer-1</t>
        </is>
      </c>
      <c r="R120" s="8" t="inlineStr">
        <is>
          <t>High - daily styling + festival peaks</t>
        </is>
      </c>
      <c r="S120" s="8" t="inlineStr">
        <is>
          <t>High - price-transparent on Daraz</t>
        </is>
      </c>
      <c r="T120" s="15">
        <f>IF(E120="Profit",1,IF(O120&gt;2500,2,3))</f>
        <v/>
      </c>
      <c r="U120" s="8" t="inlineStr">
        <is>
          <t>Drying-time race vs a cheap dryer; noise + heat-damage proof</t>
        </is>
      </c>
      <c r="V120" s="8" t="inlineStr">
        <is>
          <t>No Daraz Nepal listing found. Price set from landed cost + target margin. You set the anchor here.</t>
        </is>
      </c>
      <c r="W120" s="16">
        <f>IFERROR(ROUND(MIN(10,O120/1500)*IF(E120="Profit",1.4,1),2),"")</f>
        <v/>
      </c>
    </row>
    <row r="121" ht="30" customHeight="1">
      <c r="A121" s="10" t="inlineStr">
        <is>
          <t>ETP-117</t>
        </is>
      </c>
      <c r="B121" s="8" t="inlineStr">
        <is>
          <t>Ikonic Professional Finishing Line Hair Dryer</t>
        </is>
      </c>
      <c r="C121" s="10" t="inlineStr">
        <is>
          <t>Ikonic</t>
        </is>
      </c>
      <c r="D121" s="10" t="inlineStr">
        <is>
          <t>Hair Dryers</t>
        </is>
      </c>
      <c r="E121" s="10" t="inlineStr">
        <is>
          <t>Traffic</t>
        </is>
      </c>
      <c r="F121" s="10" t="inlineStr">
        <is>
          <t>D2C</t>
        </is>
      </c>
      <c r="G121" s="8" t="inlineStr">
        <is>
          <t>Salon owner + home user who blow-dries weekly</t>
        </is>
      </c>
      <c r="H121" s="11" t="n">
        <v>5700</v>
      </c>
      <c r="I121" s="11" t="n">
        <v>9500</v>
      </c>
      <c r="J121" s="11" t="n"/>
      <c r="K121" s="12" t="inlineStr">
        <is>
          <t>NO-NEPAL-LISTING</t>
        </is>
      </c>
      <c r="L121" s="13">
        <f>IF(J121&gt;0,J121,ROUND(P121/(1-M121),-1))</f>
        <v/>
      </c>
      <c r="M121" s="14" t="n">
        <v>0.275</v>
      </c>
      <c r="N121" s="13">
        <f>ROUND(L121*(1-M121),0)</f>
        <v/>
      </c>
      <c r="O121" s="13">
        <f>L121-N121</f>
        <v/>
      </c>
      <c r="P121" s="13">
        <f>IF(H121&gt;0,ROUND(H121*(1-IF(E121="Profit",DIST_FURN,DIST_TOOL))*FX_PEG*LANDED_MULT,0),"")</f>
        <v/>
      </c>
      <c r="Q121" s="8" t="inlineStr">
        <is>
          <t>https://www.ikonicworld.com/products/finishing-line-hair-dryer</t>
        </is>
      </c>
      <c r="R121" s="8" t="inlineStr">
        <is>
          <t>High - daily styling + festival peaks</t>
        </is>
      </c>
      <c r="S121" s="8" t="inlineStr">
        <is>
          <t>High - price-transparent on Daraz</t>
        </is>
      </c>
      <c r="T121" s="15">
        <f>IF(E121="Profit",1,IF(O121&gt;2500,2,3))</f>
        <v/>
      </c>
      <c r="U121" s="8" t="inlineStr">
        <is>
          <t>Drying-time race vs a cheap dryer; noise + heat-damage proof</t>
        </is>
      </c>
      <c r="V121" s="8" t="inlineStr">
        <is>
          <t>No Daraz Nepal listing found. Price set from landed cost + target margin. You set the anchor here.</t>
        </is>
      </c>
      <c r="W121" s="16">
        <f>IFERROR(ROUND(MIN(10,O121/1500)*IF(E121="Profit",1.4,1),2),"")</f>
        <v/>
      </c>
    </row>
    <row r="122" ht="30" customHeight="1">
      <c r="A122" s="10" t="inlineStr">
        <is>
          <t>ETP-118</t>
        </is>
      </c>
      <c r="B122" s="8" t="inlineStr">
        <is>
          <t>Ikonic Professional Pro 2500+ Advanced Hair Dryer</t>
        </is>
      </c>
      <c r="C122" s="10" t="inlineStr">
        <is>
          <t>Ikonic</t>
        </is>
      </c>
      <c r="D122" s="10" t="inlineStr">
        <is>
          <t>Hair Dryers</t>
        </is>
      </c>
      <c r="E122" s="10" t="inlineStr">
        <is>
          <t>Traffic</t>
        </is>
      </c>
      <c r="F122" s="10" t="inlineStr">
        <is>
          <t>D2C</t>
        </is>
      </c>
      <c r="G122" s="8" t="inlineStr">
        <is>
          <t>Salon owner + home user who blow-dries weekly</t>
        </is>
      </c>
      <c r="H122" s="11" t="n">
        <v>4900</v>
      </c>
      <c r="I122" s="11" t="n">
        <v>7000</v>
      </c>
      <c r="J122" s="11" t="n">
        <v>10000</v>
      </c>
      <c r="K122" s="12" t="inlineStr">
        <is>
          <t>VERIFIED</t>
        </is>
      </c>
      <c r="L122" s="13">
        <f>IF(J122&gt;0,J122,ROUND(P122/(1-M122),-1))</f>
        <v/>
      </c>
      <c r="M122" s="14" t="n">
        <v>0.275</v>
      </c>
      <c r="N122" s="13">
        <f>ROUND(L122*(1-M122),0)</f>
        <v/>
      </c>
      <c r="O122" s="13">
        <f>L122-N122</f>
        <v/>
      </c>
      <c r="P122" s="13">
        <f>IF(H122&gt;0,ROUND(H122*(1-IF(E122="Profit",DIST_FURN,DIST_TOOL))*FX_PEG*LANDED_MULT,0),"")</f>
        <v/>
      </c>
      <c r="Q122" s="8" t="inlineStr">
        <is>
          <t>https://www.daraz.com.np/products/ikonic-hair-dryer-pro-2500-white-i133838345.html</t>
        </is>
      </c>
      <c r="R122" s="8" t="inlineStr">
        <is>
          <t>High - daily styling + festival peaks</t>
        </is>
      </c>
      <c r="S122" s="8" t="inlineStr">
        <is>
          <t>High - price-transparent on Daraz</t>
        </is>
      </c>
      <c r="T122" s="15">
        <f>IF(E122="Profit",1,IF(O122&gt;2500,2,3))</f>
        <v/>
      </c>
      <c r="U122" s="8" t="inlineStr">
        <is>
          <t>Drying-time race vs a cheap dryer; noise + heat-damage proof</t>
        </is>
      </c>
      <c r="V122" s="8" t="inlineStr">
        <is>
          <t>India list and Daraz Nepal price both confirmed on live pages during research.</t>
        </is>
      </c>
      <c r="W122" s="16">
        <f>IFERROR(ROUND(MIN(10,O122/1500)*IF(E122="Profit",1.4,1),2),"")</f>
        <v/>
      </c>
    </row>
    <row r="123" ht="30" customHeight="1">
      <c r="A123" s="10" t="inlineStr">
        <is>
          <t>ETP-119</t>
        </is>
      </c>
      <c r="B123" s="8" t="inlineStr">
        <is>
          <t>Ikonic Professional Dynamite Hair Dryer</t>
        </is>
      </c>
      <c r="C123" s="10" t="inlineStr">
        <is>
          <t>Ikonic</t>
        </is>
      </c>
      <c r="D123" s="10" t="inlineStr">
        <is>
          <t>Hair Dryers</t>
        </is>
      </c>
      <c r="E123" s="10" t="inlineStr">
        <is>
          <t>Traffic</t>
        </is>
      </c>
      <c r="F123" s="10" t="inlineStr">
        <is>
          <t>D2C</t>
        </is>
      </c>
      <c r="G123" s="8" t="inlineStr">
        <is>
          <t>Salon owner + home user who blow-dries weekly</t>
        </is>
      </c>
      <c r="H123" s="11" t="n">
        <v>4800</v>
      </c>
      <c r="I123" s="11" t="n">
        <v>8000</v>
      </c>
      <c r="J123" s="11" t="n"/>
      <c r="K123" s="12" t="inlineStr">
        <is>
          <t>NO-NEPAL-LISTING</t>
        </is>
      </c>
      <c r="L123" s="13">
        <f>IF(J123&gt;0,J123,ROUND(P123/(1-M123),-1))</f>
        <v/>
      </c>
      <c r="M123" s="14" t="n">
        <v>0.275</v>
      </c>
      <c r="N123" s="13">
        <f>ROUND(L123*(1-M123),0)</f>
        <v/>
      </c>
      <c r="O123" s="13">
        <f>L123-N123</f>
        <v/>
      </c>
      <c r="P123" s="13">
        <f>IF(H123&gt;0,ROUND(H123*(1-IF(E123="Profit",DIST_FURN,DIST_TOOL))*FX_PEG*LANDED_MULT,0),"")</f>
        <v/>
      </c>
      <c r="Q123" s="8" t="inlineStr">
        <is>
          <t>https://www.ikonicworld.com/products/ikonic-hair-dryer-dynamite</t>
        </is>
      </c>
      <c r="R123" s="8" t="inlineStr">
        <is>
          <t>High - daily styling + festival peaks</t>
        </is>
      </c>
      <c r="S123" s="8" t="inlineStr">
        <is>
          <t>High - price-transparent on Daraz</t>
        </is>
      </c>
      <c r="T123" s="15">
        <f>IF(E123="Profit",1,IF(O123&gt;2500,2,3))</f>
        <v/>
      </c>
      <c r="U123" s="8" t="inlineStr">
        <is>
          <t>Drying-time race vs a cheap dryer; noise + heat-damage proof</t>
        </is>
      </c>
      <c r="V123" s="8" t="inlineStr">
        <is>
          <t>No Daraz Nepal listing found. Price set from landed cost + target margin. You set the anchor here.</t>
        </is>
      </c>
      <c r="W123" s="16">
        <f>IFERROR(ROUND(MIN(10,O123/1500)*IF(E123="Profit",1.4,1),2),"")</f>
        <v/>
      </c>
    </row>
    <row r="124" ht="30" customHeight="1">
      <c r="A124" s="10" t="inlineStr">
        <is>
          <t>ETP-120</t>
        </is>
      </c>
      <c r="B124" s="8" t="inlineStr">
        <is>
          <t>Ikonic Professional Pro 2400 Hair Dryer</t>
        </is>
      </c>
      <c r="C124" s="10" t="inlineStr">
        <is>
          <t>Ikonic</t>
        </is>
      </c>
      <c r="D124" s="10" t="inlineStr">
        <is>
          <t>Hair Dryers</t>
        </is>
      </c>
      <c r="E124" s="10" t="inlineStr">
        <is>
          <t>Traffic</t>
        </is>
      </c>
      <c r="F124" s="10" t="inlineStr">
        <is>
          <t>D2C</t>
        </is>
      </c>
      <c r="G124" s="8" t="inlineStr">
        <is>
          <t>Salon owner + home user who blow-dries weekly</t>
        </is>
      </c>
      <c r="H124" s="11" t="n">
        <v>3500</v>
      </c>
      <c r="I124" s="11" t="n">
        <v>5000</v>
      </c>
      <c r="J124" s="11" t="n"/>
      <c r="K124" s="12" t="inlineStr">
        <is>
          <t>NO-NEPAL-LISTING</t>
        </is>
      </c>
      <c r="L124" s="13">
        <f>IF(J124&gt;0,J124,ROUND(P124/(1-M124),-1))</f>
        <v/>
      </c>
      <c r="M124" s="14" t="n">
        <v>0.275</v>
      </c>
      <c r="N124" s="13">
        <f>ROUND(L124*(1-M124),0)</f>
        <v/>
      </c>
      <c r="O124" s="13">
        <f>L124-N124</f>
        <v/>
      </c>
      <c r="P124" s="13">
        <f>IF(H124&gt;0,ROUND(H124*(1-IF(E124="Profit",DIST_FURN,DIST_TOOL))*FX_PEG*LANDED_MULT,0),"")</f>
        <v/>
      </c>
      <c r="Q124" s="8" t="inlineStr">
        <is>
          <t>https://www.ikonicworld.com/products/ikonic-hair-dryer-pro-2400</t>
        </is>
      </c>
      <c r="R124" s="8" t="inlineStr">
        <is>
          <t>High - daily styling + festival peaks</t>
        </is>
      </c>
      <c r="S124" s="8" t="inlineStr">
        <is>
          <t>High - price-transparent on Daraz</t>
        </is>
      </c>
      <c r="T124" s="15">
        <f>IF(E124="Profit",1,IF(O124&gt;2500,2,3))</f>
        <v/>
      </c>
      <c r="U124" s="8" t="inlineStr">
        <is>
          <t>Drying-time race vs a cheap dryer; noise + heat-damage proof</t>
        </is>
      </c>
      <c r="V124" s="8" t="inlineStr">
        <is>
          <t>No Daraz Nepal listing found. Price set from landed cost + target margin. You set the anchor here.</t>
        </is>
      </c>
      <c r="W124" s="16">
        <f>IFERROR(ROUND(MIN(10,O124/1500)*IF(E124="Profit",1.4,1),2),"")</f>
        <v/>
      </c>
    </row>
    <row r="125" ht="30" customHeight="1">
      <c r="A125" s="10" t="inlineStr">
        <is>
          <t>ETP-121</t>
        </is>
      </c>
      <c r="B125" s="8" t="inlineStr">
        <is>
          <t>Ikonic Professional Hair Dryer Pro 2200+</t>
        </is>
      </c>
      <c r="C125" s="10" t="inlineStr">
        <is>
          <t>Ikonic</t>
        </is>
      </c>
      <c r="D125" s="10" t="inlineStr">
        <is>
          <t>Hair Dryers</t>
        </is>
      </c>
      <c r="E125" s="10" t="inlineStr">
        <is>
          <t>Traffic</t>
        </is>
      </c>
      <c r="F125" s="10" t="inlineStr">
        <is>
          <t>D2C</t>
        </is>
      </c>
      <c r="G125" s="8" t="inlineStr">
        <is>
          <t>Salon owner + home user who blow-dries weekly</t>
        </is>
      </c>
      <c r="H125" s="11" t="n">
        <v>3325</v>
      </c>
      <c r="I125" s="11" t="n">
        <v>4750</v>
      </c>
      <c r="J125" s="11" t="n">
        <v>7500</v>
      </c>
      <c r="K125" s="17" t="inlineStr">
        <is>
          <t>LIKELY-MATCH</t>
        </is>
      </c>
      <c r="L125" s="13">
        <f>IF(J125&gt;0,J125,ROUND(P125/(1-M125),-1))</f>
        <v/>
      </c>
      <c r="M125" s="14" t="n">
        <v>0.275</v>
      </c>
      <c r="N125" s="13">
        <f>ROUND(L125*(1-M125),0)</f>
        <v/>
      </c>
      <c r="O125" s="13">
        <f>L125-N125</f>
        <v/>
      </c>
      <c r="P125" s="13">
        <f>IF(H125&gt;0,ROUND(H125*(1-IF(E125="Profit",DIST_FURN,DIST_TOOL))*FX_PEG*LANDED_MULT,0),"")</f>
        <v/>
      </c>
      <c r="Q125" s="8" t="inlineStr">
        <is>
          <t>https://www.daraz.com.np/products/ikonic-hair-dryer-pro-2200-black-red-by-genuine-beauty-i111077769.html</t>
        </is>
      </c>
      <c r="R125" s="8" t="inlineStr">
        <is>
          <t>High - daily styling + festival peaks</t>
        </is>
      </c>
      <c r="S125" s="8" t="inlineStr">
        <is>
          <t>High - price-transparent on Daraz</t>
        </is>
      </c>
      <c r="T125" s="15">
        <f>IF(E125="Profit",1,IF(O125&gt;2500,2,3))</f>
        <v/>
      </c>
      <c r="U125" s="8" t="inlineStr">
        <is>
          <t>Drying-time race vs a cheap dryer; noise + heat-damage proof</t>
        </is>
      </c>
      <c r="V125" s="8" t="inlineStr">
        <is>
          <t>Name-matched to Daraz listing "Ikonic Hair Dryer Pro 2200 Black &amp; Red By Genuine Beauty". Open the link and confirm same model before pricing.</t>
        </is>
      </c>
      <c r="W125" s="16">
        <f>IFERROR(ROUND(MIN(10,O125/1500)*IF(E125="Profit",1.4,1),2),"")</f>
        <v/>
      </c>
    </row>
    <row r="126" ht="30" customHeight="1">
      <c r="A126" s="10" t="inlineStr">
        <is>
          <t>ETP-122</t>
        </is>
      </c>
      <c r="B126" s="8" t="inlineStr">
        <is>
          <t>Ikonic Professional Pro 2200 Hair Dryer</t>
        </is>
      </c>
      <c r="C126" s="10" t="inlineStr">
        <is>
          <t>Ikonic</t>
        </is>
      </c>
      <c r="D126" s="10" t="inlineStr">
        <is>
          <t>Hair Dryers</t>
        </is>
      </c>
      <c r="E126" s="10" t="inlineStr">
        <is>
          <t>Traffic</t>
        </is>
      </c>
      <c r="F126" s="10" t="inlineStr">
        <is>
          <t>D2C</t>
        </is>
      </c>
      <c r="G126" s="8" t="inlineStr">
        <is>
          <t>Salon owner + home user who blow-dries weekly</t>
        </is>
      </c>
      <c r="H126" s="11" t="n">
        <v>3055</v>
      </c>
      <c r="I126" s="11" t="n">
        <v>4700</v>
      </c>
      <c r="J126" s="11" t="n">
        <v>7500</v>
      </c>
      <c r="K126" s="12" t="inlineStr">
        <is>
          <t>VERIFIED</t>
        </is>
      </c>
      <c r="L126" s="13">
        <f>IF(J126&gt;0,J126,ROUND(P126/(1-M126),-1))</f>
        <v/>
      </c>
      <c r="M126" s="14" t="n">
        <v>0.275</v>
      </c>
      <c r="N126" s="13">
        <f>ROUND(L126*(1-M126),0)</f>
        <v/>
      </c>
      <c r="O126" s="13">
        <f>L126-N126</f>
        <v/>
      </c>
      <c r="P126" s="13">
        <f>IF(H126&gt;0,ROUND(H126*(1-IF(E126="Profit",DIST_FURN,DIST_TOOL))*FX_PEG*LANDED_MULT,0),"")</f>
        <v/>
      </c>
      <c r="Q126" s="8" t="inlineStr">
        <is>
          <t>https://www.daraz.com.np/products/ikonic-hair-dryer-pro-2200-black-red-by-genuine-beauty-i111077769.html</t>
        </is>
      </c>
      <c r="R126" s="8" t="inlineStr">
        <is>
          <t>High - daily styling + festival peaks</t>
        </is>
      </c>
      <c r="S126" s="8" t="inlineStr">
        <is>
          <t>High - price-transparent on Daraz</t>
        </is>
      </c>
      <c r="T126" s="15">
        <f>IF(E126="Profit",1,IF(O126&gt;2500,2,3))</f>
        <v/>
      </c>
      <c r="U126" s="8" t="inlineStr">
        <is>
          <t>Drying-time race vs a cheap dryer; noise + heat-damage proof</t>
        </is>
      </c>
      <c r="V126" s="8" t="inlineStr">
        <is>
          <t>India list and Daraz Nepal price both confirmed on live pages during research.</t>
        </is>
      </c>
      <c r="W126" s="16">
        <f>IFERROR(ROUND(MIN(10,O126/1500)*IF(E126="Profit",1.4,1),2),"")</f>
        <v/>
      </c>
    </row>
    <row r="127" ht="30" customHeight="1">
      <c r="A127" s="10" t="inlineStr">
        <is>
          <t>ETP-123</t>
        </is>
      </c>
      <c r="B127" s="8" t="inlineStr">
        <is>
          <t>Ikonic Professional Pro 2100+ Hair Dryer</t>
        </is>
      </c>
      <c r="C127" s="10" t="inlineStr">
        <is>
          <t>Ikonic</t>
        </is>
      </c>
      <c r="D127" s="10" t="inlineStr">
        <is>
          <t>Hair Dryers</t>
        </is>
      </c>
      <c r="E127" s="10" t="inlineStr">
        <is>
          <t>Traffic</t>
        </is>
      </c>
      <c r="F127" s="10" t="inlineStr">
        <is>
          <t>D2C</t>
        </is>
      </c>
      <c r="G127" s="8" t="inlineStr">
        <is>
          <t>Salon owner + home user who blow-dries weekly</t>
        </is>
      </c>
      <c r="H127" s="11" t="n">
        <v>2503</v>
      </c>
      <c r="I127" s="11" t="n">
        <v>3575</v>
      </c>
      <c r="J127" s="11" t="n">
        <v>5720</v>
      </c>
      <c r="K127" s="12" t="inlineStr">
        <is>
          <t>VERIFIED</t>
        </is>
      </c>
      <c r="L127" s="13">
        <f>IF(J127&gt;0,J127,ROUND(P127/(1-M127),-1))</f>
        <v/>
      </c>
      <c r="M127" s="14" t="n">
        <v>0.275</v>
      </c>
      <c r="N127" s="13">
        <f>ROUND(L127*(1-M127),0)</f>
        <v/>
      </c>
      <c r="O127" s="13">
        <f>L127-N127</f>
        <v/>
      </c>
      <c r="P127" s="13">
        <f>IF(H127&gt;0,ROUND(H127*(1-IF(E127="Profit",DIST_FURN,DIST_TOOL))*FX_PEG*LANDED_MULT,0),"")</f>
        <v/>
      </c>
      <c r="Q127" s="8" t="inlineStr">
        <is>
          <t>https://www.daraz.com.np/products/ikonic-professional-pro-2100-hair-dryer-096kg-i1520901079.html</t>
        </is>
      </c>
      <c r="R127" s="8" t="inlineStr">
        <is>
          <t>High - daily styling + festival peaks</t>
        </is>
      </c>
      <c r="S127" s="8" t="inlineStr">
        <is>
          <t>High - price-transparent on Daraz</t>
        </is>
      </c>
      <c r="T127" s="15">
        <f>IF(E127="Profit",1,IF(O127&gt;2500,2,3))</f>
        <v/>
      </c>
      <c r="U127" s="8" t="inlineStr">
        <is>
          <t>Drying-time race vs a cheap dryer; noise + heat-damage proof</t>
        </is>
      </c>
      <c r="V127" s="8" t="inlineStr">
        <is>
          <t>India list and Daraz Nepal price both confirmed on live pages during research.</t>
        </is>
      </c>
      <c r="W127" s="16">
        <f>IFERROR(ROUND(MIN(10,O127/1500)*IF(E127="Profit",1.4,1),2),"")</f>
        <v/>
      </c>
    </row>
    <row r="128" ht="30" customHeight="1">
      <c r="A128" s="10" t="inlineStr">
        <is>
          <t>ETP-124</t>
        </is>
      </c>
      <c r="B128" s="8" t="inlineStr">
        <is>
          <t>Ikonic Professional Blaze Hair Dryer</t>
        </is>
      </c>
      <c r="C128" s="10" t="inlineStr">
        <is>
          <t>Ikonic</t>
        </is>
      </c>
      <c r="D128" s="10" t="inlineStr">
        <is>
          <t>Hair Dryers</t>
        </is>
      </c>
      <c r="E128" s="10" t="inlineStr">
        <is>
          <t>Traffic</t>
        </is>
      </c>
      <c r="F128" s="10" t="inlineStr">
        <is>
          <t>D2C</t>
        </is>
      </c>
      <c r="G128" s="8" t="inlineStr">
        <is>
          <t>Salon owner + home user who blow-dries weekly</t>
        </is>
      </c>
      <c r="H128" s="11" t="n">
        <v>2135</v>
      </c>
      <c r="I128" s="11" t="n">
        <v>3050</v>
      </c>
      <c r="J128" s="11" t="n"/>
      <c r="K128" s="12" t="inlineStr">
        <is>
          <t>NO-NEPAL-LISTING</t>
        </is>
      </c>
      <c r="L128" s="13">
        <f>IF(J128&gt;0,J128,ROUND(P128/(1-M128),-1))</f>
        <v/>
      </c>
      <c r="M128" s="14" t="n">
        <v>0.275</v>
      </c>
      <c r="N128" s="13">
        <f>ROUND(L128*(1-M128),0)</f>
        <v/>
      </c>
      <c r="O128" s="13">
        <f>L128-N128</f>
        <v/>
      </c>
      <c r="P128" s="13">
        <f>IF(H128&gt;0,ROUND(H128*(1-IF(E128="Profit",DIST_FURN,DIST_TOOL))*FX_PEG*LANDED_MULT,0),"")</f>
        <v/>
      </c>
      <c r="Q128" s="8" t="inlineStr">
        <is>
          <t>https://www.ikonicworld.com/products/ikonic-hair-dryer-blaze-black</t>
        </is>
      </c>
      <c r="R128" s="8" t="inlineStr">
        <is>
          <t>High - daily styling + festival peaks</t>
        </is>
      </c>
      <c r="S128" s="8" t="inlineStr">
        <is>
          <t>High - price-transparent on Daraz</t>
        </is>
      </c>
      <c r="T128" s="15">
        <f>IF(E128="Profit",1,IF(O128&gt;2500,2,3))</f>
        <v/>
      </c>
      <c r="U128" s="8" t="inlineStr">
        <is>
          <t>Drying-time race vs a cheap dryer; noise + heat-damage proof</t>
        </is>
      </c>
      <c r="V128" s="8" t="inlineStr">
        <is>
          <t>No Daraz Nepal listing found. Price set from landed cost + target margin. You set the anchor here.</t>
        </is>
      </c>
      <c r="W128" s="16">
        <f>IFERROR(ROUND(MIN(10,O128/1500)*IF(E128="Profit",1.4,1),2),"")</f>
        <v/>
      </c>
    </row>
    <row r="129" ht="30" customHeight="1">
      <c r="A129" s="10" t="inlineStr">
        <is>
          <t>ETP-125</t>
        </is>
      </c>
      <c r="B129" s="8" t="inlineStr">
        <is>
          <t>Ikonic Me- Ultralight 2000 Hair Dryer</t>
        </is>
      </c>
      <c r="C129" s="10" t="inlineStr">
        <is>
          <t>Ikonic</t>
        </is>
      </c>
      <c r="D129" s="10" t="inlineStr">
        <is>
          <t>Hair Dryers</t>
        </is>
      </c>
      <c r="E129" s="10" t="inlineStr">
        <is>
          <t>Traffic</t>
        </is>
      </c>
      <c r="F129" s="10" t="inlineStr">
        <is>
          <t>D2C</t>
        </is>
      </c>
      <c r="G129" s="8" t="inlineStr">
        <is>
          <t>Salon owner + home user who blow-dries weekly</t>
        </is>
      </c>
      <c r="H129" s="11" t="n">
        <v>1950</v>
      </c>
      <c r="I129" s="11" t="n">
        <v>3000</v>
      </c>
      <c r="J129" s="11" t="n"/>
      <c r="K129" s="12" t="inlineStr">
        <is>
          <t>NO-NEPAL-LISTING</t>
        </is>
      </c>
      <c r="L129" s="13">
        <f>IF(J129&gt;0,J129,ROUND(P129/(1-M129),-1))</f>
        <v/>
      </c>
      <c r="M129" s="14" t="n">
        <v>0.275</v>
      </c>
      <c r="N129" s="13">
        <f>ROUND(L129*(1-M129),0)</f>
        <v/>
      </c>
      <c r="O129" s="13">
        <f>L129-N129</f>
        <v/>
      </c>
      <c r="P129" s="13">
        <f>IF(H129&gt;0,ROUND(H129*(1-IF(E129="Profit",DIST_FURN,DIST_TOOL))*FX_PEG*LANDED_MULT,0),"")</f>
        <v/>
      </c>
      <c r="Q129" s="8" t="inlineStr">
        <is>
          <t>https://www.ikonicworld.com/products/ikonic-me-ultralight-2000-hair-dryer-orange</t>
        </is>
      </c>
      <c r="R129" s="8" t="inlineStr">
        <is>
          <t>High - daily styling + festival peaks</t>
        </is>
      </c>
      <c r="S129" s="8" t="inlineStr">
        <is>
          <t>High - price-transparent on Daraz</t>
        </is>
      </c>
      <c r="T129" s="15">
        <f>IF(E129="Profit",1,IF(O129&gt;2500,2,3))</f>
        <v/>
      </c>
      <c r="U129" s="8" t="inlineStr">
        <is>
          <t>Drying-time race vs a cheap dryer; noise + heat-damage proof</t>
        </is>
      </c>
      <c r="V129" s="8" t="inlineStr">
        <is>
          <t>No Daraz Nepal listing found. Price set from landed cost + target margin. You set the anchor here.</t>
        </is>
      </c>
      <c r="W129" s="16">
        <f>IFERROR(ROUND(MIN(10,O129/1500)*IF(E129="Profit",1.4,1),2),"")</f>
        <v/>
      </c>
    </row>
    <row r="130" ht="30" customHeight="1">
      <c r="A130" s="10" t="inlineStr">
        <is>
          <t>ETP-126</t>
        </is>
      </c>
      <c r="B130" s="8" t="inlineStr">
        <is>
          <t>Ikonic Travel Express Hair Dryer (White &amp; Rose Gold) 1400W Motor Foldable Handle 2 Heat and 1 C</t>
        </is>
      </c>
      <c r="C130" s="10" t="inlineStr">
        <is>
          <t>Ikonic</t>
        </is>
      </c>
      <c r="D130" s="10" t="inlineStr">
        <is>
          <t>Hair Dryers</t>
        </is>
      </c>
      <c r="E130" s="10" t="inlineStr">
        <is>
          <t>Traffic</t>
        </is>
      </c>
      <c r="F130" s="10" t="inlineStr">
        <is>
          <t>D2C</t>
        </is>
      </c>
      <c r="G130" s="8" t="inlineStr">
        <is>
          <t>Salon owner + home user who blow-dries weekly</t>
        </is>
      </c>
      <c r="H130" s="11" t="n"/>
      <c r="I130" s="11" t="n"/>
      <c r="J130" s="11" t="n">
        <v>2729</v>
      </c>
      <c r="K130" s="12" t="inlineStr">
        <is>
          <t>VERIFIED</t>
        </is>
      </c>
      <c r="L130" s="13">
        <f>IF(J130&gt;0,J130,ROUND(P130/(1-M130),-1))</f>
        <v/>
      </c>
      <c r="M130" s="14" t="n">
        <v>0.275</v>
      </c>
      <c r="N130" s="13">
        <f>ROUND(L130*(1-M130),0)</f>
        <v/>
      </c>
      <c r="O130" s="13">
        <f>L130-N130</f>
        <v/>
      </c>
      <c r="P130" s="13">
        <f>IF(H130&gt;0,ROUND(H130*(1-IF(E130="Profit",DIST_FURN,DIST_TOOL))*FX_PEG*LANDED_MULT,0),"")</f>
        <v/>
      </c>
      <c r="Q130" s="8" t="inlineStr">
        <is>
          <t>https://www.daraz.com.np/products/ikonic-travel-express-hair-dryer-white-rose-gold-1400w-motor-foldable-handle-2-heat-and-1-cool-setting-i130200127.html</t>
        </is>
      </c>
      <c r="R130" s="8" t="inlineStr">
        <is>
          <t>High - daily styling + festival peaks</t>
        </is>
      </c>
      <c r="S130" s="8" t="inlineStr">
        <is>
          <t>High - price-transparent on Daraz</t>
        </is>
      </c>
      <c r="T130" s="15">
        <f>IF(E130="Profit",1,IF(O130&gt;2500,2,3))</f>
        <v/>
      </c>
      <c r="U130" s="8" t="inlineStr">
        <is>
          <t>Drying-time race vs a cheap dryer; noise + heat-damage proof</t>
        </is>
      </c>
      <c r="V130" s="8" t="inlineStr">
        <is>
          <t>India list and Daraz Nepal price both confirmed on live pages during research.</t>
        </is>
      </c>
      <c r="W130" s="16">
        <f>IFERROR(ROUND(MIN(10,O130/1500)*IF(E130="Profit",1.4,1),2),"")</f>
        <v/>
      </c>
    </row>
    <row r="131" ht="30" customHeight="1">
      <c r="A131" s="10" t="inlineStr">
        <is>
          <t>ETP-127</t>
        </is>
      </c>
      <c r="B131" s="8" t="inlineStr">
        <is>
          <t>Ikonic Professional Id 2.0 Hair Dryer Stand</t>
        </is>
      </c>
      <c r="C131" s="10" t="inlineStr">
        <is>
          <t>Ikonic</t>
        </is>
      </c>
      <c r="D131" s="10" t="inlineStr">
        <is>
          <t>Hair Dryers</t>
        </is>
      </c>
      <c r="E131" s="10" t="inlineStr">
        <is>
          <t>Traffic</t>
        </is>
      </c>
      <c r="F131" s="10" t="inlineStr">
        <is>
          <t>D2C</t>
        </is>
      </c>
      <c r="G131" s="8" t="inlineStr">
        <is>
          <t>Salon owner + home user who blow-dries weekly</t>
        </is>
      </c>
      <c r="H131" s="11" t="n">
        <v>1625</v>
      </c>
      <c r="I131" s="11" t="n">
        <v>2500</v>
      </c>
      <c r="J131" s="11" t="n"/>
      <c r="K131" s="12" t="inlineStr">
        <is>
          <t>NO-NEPAL-LISTING</t>
        </is>
      </c>
      <c r="L131" s="13">
        <f>IF(J131&gt;0,J131,ROUND(P131/(1-M131),-1))</f>
        <v/>
      </c>
      <c r="M131" s="14" t="n">
        <v>0.275</v>
      </c>
      <c r="N131" s="13">
        <f>ROUND(L131*(1-M131),0)</f>
        <v/>
      </c>
      <c r="O131" s="13">
        <f>L131-N131</f>
        <v/>
      </c>
      <c r="P131" s="13">
        <f>IF(H131&gt;0,ROUND(H131*(1-IF(E131="Profit",DIST_FURN,DIST_TOOL))*FX_PEG*LANDED_MULT,0),"")</f>
        <v/>
      </c>
      <c r="Q131" s="8" t="inlineStr">
        <is>
          <t>https://www.ikonicworld.com/products/ikonic-id-hair-dryer-stand-2-0</t>
        </is>
      </c>
      <c r="R131" s="8" t="inlineStr">
        <is>
          <t>High - daily styling + festival peaks</t>
        </is>
      </c>
      <c r="S131" s="8" t="inlineStr">
        <is>
          <t>High - price-transparent on Daraz</t>
        </is>
      </c>
      <c r="T131" s="15">
        <f>IF(E131="Profit",1,IF(O131&gt;2500,2,3))</f>
        <v/>
      </c>
      <c r="U131" s="8" t="inlineStr">
        <is>
          <t>Drying-time race vs a cheap dryer; noise + heat-damage proof</t>
        </is>
      </c>
      <c r="V131" s="8" t="inlineStr">
        <is>
          <t>No Daraz Nepal listing found. Price set from landed cost + target margin. You set the anchor here.</t>
        </is>
      </c>
      <c r="W131" s="16">
        <f>IFERROR(ROUND(MIN(10,O131/1500)*IF(E131="Profit",1.4,1),2),"")</f>
        <v/>
      </c>
    </row>
    <row r="132" ht="30" customHeight="1">
      <c r="A132" s="10" t="inlineStr">
        <is>
          <t>ETP-128</t>
        </is>
      </c>
      <c r="B132" s="8" t="inlineStr">
        <is>
          <t>HAIR DRYER STAND BLACK D0013D-S</t>
        </is>
      </c>
      <c r="C132" s="10" t="inlineStr">
        <is>
          <t>Ikonic</t>
        </is>
      </c>
      <c r="D132" s="10" t="inlineStr">
        <is>
          <t>Hair Dryers</t>
        </is>
      </c>
      <c r="E132" s="10" t="inlineStr">
        <is>
          <t>Traffic</t>
        </is>
      </c>
      <c r="F132" s="10" t="inlineStr">
        <is>
          <t>D2C</t>
        </is>
      </c>
      <c r="G132" s="8" t="inlineStr">
        <is>
          <t>Salon owner + home user who blow-dries weekly</t>
        </is>
      </c>
      <c r="H132" s="11" t="n">
        <v>1600</v>
      </c>
      <c r="I132" s="11" t="n">
        <v>1600</v>
      </c>
      <c r="J132" s="11" t="n"/>
      <c r="K132" s="12" t="inlineStr">
        <is>
          <t>NO-NEPAL-LISTING</t>
        </is>
      </c>
      <c r="L132" s="13">
        <f>IF(J132&gt;0,J132,ROUND(P132/(1-M132),-1))</f>
        <v/>
      </c>
      <c r="M132" s="14" t="n">
        <v>0.275</v>
      </c>
      <c r="N132" s="13">
        <f>ROUND(L132*(1-M132),0)</f>
        <v/>
      </c>
      <c r="O132" s="13">
        <f>L132-N132</f>
        <v/>
      </c>
      <c r="P132" s="13">
        <f>IF(H132&gt;0,ROUND(H132*(1-IF(E132="Profit",DIST_FURN,DIST_TOOL))*FX_PEG*LANDED_MULT,0),"")</f>
        <v/>
      </c>
      <c r="Q132" s="8" t="inlineStr">
        <is>
          <t>https://www.ikonicworld.com/products/hair-dryer-stand-black-d0013d-s</t>
        </is>
      </c>
      <c r="R132" s="8" t="inlineStr">
        <is>
          <t>High - daily styling + festival peaks</t>
        </is>
      </c>
      <c r="S132" s="8" t="inlineStr">
        <is>
          <t>High - price-transparent on Daraz</t>
        </is>
      </c>
      <c r="T132" s="15">
        <f>IF(E132="Profit",1,IF(O132&gt;2500,2,3))</f>
        <v/>
      </c>
      <c r="U132" s="8" t="inlineStr">
        <is>
          <t>Drying-time race vs a cheap dryer; noise + heat-damage proof</t>
        </is>
      </c>
      <c r="V132" s="8" t="inlineStr">
        <is>
          <t>No Daraz Nepal listing found. Price set from landed cost + target margin. You set the anchor here.</t>
        </is>
      </c>
      <c r="W132" s="16">
        <f>IFERROR(ROUND(MIN(10,O132/1500)*IF(E132="Profit",1.4,1),2),"")</f>
        <v/>
      </c>
    </row>
    <row r="133" ht="30" customHeight="1">
      <c r="A133" s="10" t="inlineStr">
        <is>
          <t>ETP-129</t>
        </is>
      </c>
      <c r="B133" s="8" t="inlineStr">
        <is>
          <t>Ikonic Me Travel Express Hair Dryer</t>
        </is>
      </c>
      <c r="C133" s="10" t="inlineStr">
        <is>
          <t>Ikonic</t>
        </is>
      </c>
      <c r="D133" s="10" t="inlineStr">
        <is>
          <t>Hair Dryers</t>
        </is>
      </c>
      <c r="E133" s="10" t="inlineStr">
        <is>
          <t>Traffic</t>
        </is>
      </c>
      <c r="F133" s="10" t="inlineStr">
        <is>
          <t>D2C</t>
        </is>
      </c>
      <c r="G133" s="8" t="inlineStr">
        <is>
          <t>Salon owner + home user who blow-dries weekly</t>
        </is>
      </c>
      <c r="H133" s="11" t="n">
        <v>1333</v>
      </c>
      <c r="I133" s="11" t="n">
        <v>2050</v>
      </c>
      <c r="J133" s="11" t="n"/>
      <c r="K133" s="12" t="inlineStr">
        <is>
          <t>NO-NEPAL-LISTING</t>
        </is>
      </c>
      <c r="L133" s="13">
        <f>IF(J133&gt;0,J133,ROUND(P133/(1-M133),-1))</f>
        <v/>
      </c>
      <c r="M133" s="14" t="n">
        <v>0.275</v>
      </c>
      <c r="N133" s="13">
        <f>ROUND(L133*(1-M133),0)</f>
        <v/>
      </c>
      <c r="O133" s="13">
        <f>L133-N133</f>
        <v/>
      </c>
      <c r="P133" s="13">
        <f>IF(H133&gt;0,ROUND(H133*(1-IF(E133="Profit",DIST_FURN,DIST_TOOL))*FX_PEG*LANDED_MULT,0),"")</f>
        <v/>
      </c>
      <c r="Q133" s="8" t="inlineStr">
        <is>
          <t>https://www.ikonicworld.com/products/ikonic-me-travel-express-hair-dryer</t>
        </is>
      </c>
      <c r="R133" s="8" t="inlineStr">
        <is>
          <t>High - daily styling + festival peaks</t>
        </is>
      </c>
      <c r="S133" s="8" t="inlineStr">
        <is>
          <t>High - price-transparent on Daraz</t>
        </is>
      </c>
      <c r="T133" s="15">
        <f>IF(E133="Profit",1,IF(O133&gt;2500,2,3))</f>
        <v/>
      </c>
      <c r="U133" s="8" t="inlineStr">
        <is>
          <t>Drying-time race vs a cheap dryer; noise + heat-damage proof</t>
        </is>
      </c>
      <c r="V133" s="8" t="inlineStr">
        <is>
          <t>No Daraz Nepal listing found. Price set from landed cost + target margin. You set the anchor here.</t>
        </is>
      </c>
      <c r="W133" s="16">
        <f>IFERROR(ROUND(MIN(10,O133/1500)*IF(E133="Profit",1.4,1),2),"")</f>
        <v/>
      </c>
    </row>
    <row r="134" ht="30" customHeight="1">
      <c r="A134" s="10" t="inlineStr">
        <is>
          <t>ETP-130</t>
        </is>
      </c>
      <c r="B134" s="8" t="inlineStr">
        <is>
          <t>Ikonic Me Mini Vibe Hair Dryer</t>
        </is>
      </c>
      <c r="C134" s="10" t="inlineStr">
        <is>
          <t>Ikonic</t>
        </is>
      </c>
      <c r="D134" s="10" t="inlineStr">
        <is>
          <t>Hair Dryers</t>
        </is>
      </c>
      <c r="E134" s="10" t="inlineStr">
        <is>
          <t>Traffic</t>
        </is>
      </c>
      <c r="F134" s="10" t="inlineStr">
        <is>
          <t>D2C</t>
        </is>
      </c>
      <c r="G134" s="8" t="inlineStr">
        <is>
          <t>Salon owner + home user who blow-dries weekly</t>
        </is>
      </c>
      <c r="H134" s="11" t="n">
        <v>1333</v>
      </c>
      <c r="I134" s="11" t="n">
        <v>2050</v>
      </c>
      <c r="J134" s="11" t="n"/>
      <c r="K134" s="12" t="inlineStr">
        <is>
          <t>NO-NEPAL-LISTING</t>
        </is>
      </c>
      <c r="L134" s="13">
        <f>IF(J134&gt;0,J134,ROUND(P134/(1-M134),-1))</f>
        <v/>
      </c>
      <c r="M134" s="14" t="n">
        <v>0.275</v>
      </c>
      <c r="N134" s="13">
        <f>ROUND(L134*(1-M134),0)</f>
        <v/>
      </c>
      <c r="O134" s="13">
        <f>L134-N134</f>
        <v/>
      </c>
      <c r="P134" s="13">
        <f>IF(H134&gt;0,ROUND(H134*(1-IF(E134="Profit",DIST_FURN,DIST_TOOL))*FX_PEG*LANDED_MULT,0),"")</f>
        <v/>
      </c>
      <c r="Q134" s="8" t="inlineStr">
        <is>
          <t>https://www.ikonicworld.com/products/ikonic-mini-vibe-hair-dryer</t>
        </is>
      </c>
      <c r="R134" s="8" t="inlineStr">
        <is>
          <t>High - daily styling + festival peaks</t>
        </is>
      </c>
      <c r="S134" s="8" t="inlineStr">
        <is>
          <t>High - price-transparent on Daraz</t>
        </is>
      </c>
      <c r="T134" s="15">
        <f>IF(E134="Profit",1,IF(O134&gt;2500,2,3))</f>
        <v/>
      </c>
      <c r="U134" s="8" t="inlineStr">
        <is>
          <t>Drying-time race vs a cheap dryer; noise + heat-damage proof</t>
        </is>
      </c>
      <c r="V134" s="8" t="inlineStr">
        <is>
          <t>No Daraz Nepal listing found. Price set from landed cost + target margin. You set the anchor here.</t>
        </is>
      </c>
      <c r="W134" s="16">
        <f>IFERROR(ROUND(MIN(10,O134/1500)*IF(E134="Profit",1.4,1),2),"")</f>
        <v/>
      </c>
    </row>
    <row r="135" ht="30" customHeight="1">
      <c r="A135" s="10" t="inlineStr">
        <is>
          <t>ETP-131</t>
        </is>
      </c>
      <c r="B135" s="8" t="inlineStr">
        <is>
          <t>Ikonic Hair Dryer Diffuser Black</t>
        </is>
      </c>
      <c r="C135" s="10" t="inlineStr">
        <is>
          <t>Ikonic</t>
        </is>
      </c>
      <c r="D135" s="10" t="inlineStr">
        <is>
          <t>Hair Dryers</t>
        </is>
      </c>
      <c r="E135" s="10" t="inlineStr">
        <is>
          <t>Traffic</t>
        </is>
      </c>
      <c r="F135" s="10" t="inlineStr">
        <is>
          <t>D2C</t>
        </is>
      </c>
      <c r="G135" s="8" t="inlineStr">
        <is>
          <t>Salon owner + home user who blow-dries weekly</t>
        </is>
      </c>
      <c r="H135" s="11" t="n">
        <v>1068</v>
      </c>
      <c r="I135" s="11" t="n">
        <v>1525</v>
      </c>
      <c r="J135" s="11" t="n"/>
      <c r="K135" s="12" t="inlineStr">
        <is>
          <t>NO-NEPAL-LISTING</t>
        </is>
      </c>
      <c r="L135" s="13">
        <f>IF(J135&gt;0,J135,ROUND(P135/(1-M135),-1))</f>
        <v/>
      </c>
      <c r="M135" s="14" t="n">
        <v>0.275</v>
      </c>
      <c r="N135" s="13">
        <f>ROUND(L135*(1-M135),0)</f>
        <v/>
      </c>
      <c r="O135" s="13">
        <f>L135-N135</f>
        <v/>
      </c>
      <c r="P135" s="13">
        <f>IF(H135&gt;0,ROUND(H135*(1-IF(E135="Profit",DIST_FURN,DIST_TOOL))*FX_PEG*LANDED_MULT,0),"")</f>
        <v/>
      </c>
      <c r="Q135" s="8" t="inlineStr">
        <is>
          <t>https://www.ikonicworld.com/products/ikonic-hair-dryer-diffuser-black</t>
        </is>
      </c>
      <c r="R135" s="8" t="inlineStr">
        <is>
          <t>High - daily styling + festival peaks</t>
        </is>
      </c>
      <c r="S135" s="8" t="inlineStr">
        <is>
          <t>High - price-transparent on Daraz</t>
        </is>
      </c>
      <c r="T135" s="15">
        <f>IF(E135="Profit",1,IF(O135&gt;2500,2,3))</f>
        <v/>
      </c>
      <c r="U135" s="8" t="inlineStr">
        <is>
          <t>Drying-time race vs a cheap dryer; noise + heat-damage proof</t>
        </is>
      </c>
      <c r="V135" s="8" t="inlineStr">
        <is>
          <t>No Daraz Nepal listing found. Price set from landed cost + target margin. You set the anchor here.</t>
        </is>
      </c>
      <c r="W135" s="16">
        <f>IFERROR(ROUND(MIN(10,O135/1500)*IF(E135="Profit",1.4,1),2),"")</f>
        <v/>
      </c>
    </row>
    <row r="136" ht="30" customHeight="1">
      <c r="A136" s="10" t="inlineStr">
        <is>
          <t>ETP-132</t>
        </is>
      </c>
      <c r="B136" s="8" t="inlineStr">
        <is>
          <t>Ikonic Me Mini Speedy Hair Dryer</t>
        </is>
      </c>
      <c r="C136" s="10" t="inlineStr">
        <is>
          <t>Ikonic</t>
        </is>
      </c>
      <c r="D136" s="10" t="inlineStr">
        <is>
          <t>Hair Dryers</t>
        </is>
      </c>
      <c r="E136" s="10" t="inlineStr">
        <is>
          <t>Traffic</t>
        </is>
      </c>
      <c r="F136" s="10" t="inlineStr">
        <is>
          <t>D2C</t>
        </is>
      </c>
      <c r="G136" s="8" t="inlineStr">
        <is>
          <t>Salon owner + home user who blow-dries weekly</t>
        </is>
      </c>
      <c r="H136" s="11" t="n">
        <v>775</v>
      </c>
      <c r="I136" s="11" t="n">
        <v>1550</v>
      </c>
      <c r="J136" s="11" t="n"/>
      <c r="K136" s="12" t="inlineStr">
        <is>
          <t>NO-NEPAL-LISTING</t>
        </is>
      </c>
      <c r="L136" s="13">
        <f>IF(J136&gt;0,J136,ROUND(P136/(1-M136),-1))</f>
        <v/>
      </c>
      <c r="M136" s="14" t="n">
        <v>0.275</v>
      </c>
      <c r="N136" s="13">
        <f>ROUND(L136*(1-M136),0)</f>
        <v/>
      </c>
      <c r="O136" s="13">
        <f>L136-N136</f>
        <v/>
      </c>
      <c r="P136" s="13">
        <f>IF(H136&gt;0,ROUND(H136*(1-IF(E136="Profit",DIST_FURN,DIST_TOOL))*FX_PEG*LANDED_MULT,0),"")</f>
        <v/>
      </c>
      <c r="Q136" s="8" t="inlineStr">
        <is>
          <t>https://www.ikonicworld.com/products/mini-speedy-hair-dryer</t>
        </is>
      </c>
      <c r="R136" s="8" t="inlineStr">
        <is>
          <t>High - daily styling + festival peaks</t>
        </is>
      </c>
      <c r="S136" s="8" t="inlineStr">
        <is>
          <t>High - price-transparent on Daraz</t>
        </is>
      </c>
      <c r="T136" s="15">
        <f>IF(E136="Profit",1,IF(O136&gt;2500,2,3))</f>
        <v/>
      </c>
      <c r="U136" s="8" t="inlineStr">
        <is>
          <t>Drying-time race vs a cheap dryer; noise + heat-damage proof</t>
        </is>
      </c>
      <c r="V136" s="8" t="inlineStr">
        <is>
          <t>No Daraz Nepal listing found. Price set from landed cost + target margin. You set the anchor here.</t>
        </is>
      </c>
      <c r="W136" s="16">
        <f>IFERROR(ROUND(MIN(10,O136/1500)*IF(E136="Profit",1.4,1),2),"")</f>
        <v/>
      </c>
    </row>
    <row r="137" ht="30" customHeight="1">
      <c r="A137" s="10" t="inlineStr">
        <is>
          <t>ETP-133</t>
        </is>
      </c>
      <c r="B137" s="8" t="inlineStr">
        <is>
          <t>Ikonic Me 3 in 1 Express Styler Hair Styler</t>
        </is>
      </c>
      <c r="C137" s="10" t="inlineStr">
        <is>
          <t>Ikonic</t>
        </is>
      </c>
      <c r="D137" s="10" t="inlineStr">
        <is>
          <t>Multi-Stylers</t>
        </is>
      </c>
      <c r="E137" s="10" t="inlineStr">
        <is>
          <t>Traffic</t>
        </is>
      </c>
      <c r="F137" s="10" t="inlineStr">
        <is>
          <t>D2C</t>
        </is>
      </c>
      <c r="G137" s="8" t="inlineStr">
        <is>
          <t>First-tool buyer who wants dry + style in one</t>
        </is>
      </c>
      <c r="H137" s="11" t="n">
        <v>2178</v>
      </c>
      <c r="I137" s="11" t="n">
        <v>3350</v>
      </c>
      <c r="J137" s="11" t="n">
        <v>5250</v>
      </c>
      <c r="K137" s="12" t="inlineStr">
        <is>
          <t>VERIFIED</t>
        </is>
      </c>
      <c r="L137" s="13">
        <f>IF(J137&gt;0,J137,ROUND(P137/(1-M137),-1))</f>
        <v/>
      </c>
      <c r="M137" s="14" t="n">
        <v>0.275</v>
      </c>
      <c r="N137" s="13">
        <f>ROUND(L137*(1-M137),0)</f>
        <v/>
      </c>
      <c r="O137" s="13">
        <f>L137-N137</f>
        <v/>
      </c>
      <c r="P137" s="13">
        <f>IF(H137&gt;0,ROUND(H137*(1-IF(E137="Profit",DIST_FURN,DIST_TOOL))*FX_PEG*LANDED_MULT,0),"")</f>
        <v/>
      </c>
      <c r="Q137" s="8" t="inlineStr">
        <is>
          <t>https://www.daraz.com.np/products/ikonic-me-3-in-1-express-styler-hair-styler-i503595140.html</t>
        </is>
      </c>
      <c r="R137" s="8" t="inlineStr">
        <is>
          <t>High - daily styling + festival peaks</t>
        </is>
      </c>
      <c r="S137" s="8" t="inlineStr">
        <is>
          <t>High - price-transparent on Daraz</t>
        </is>
      </c>
      <c r="T137" s="15">
        <f>IF(E137="Profit",1,IF(O137&gt;2500,2,3))</f>
        <v/>
      </c>
      <c r="U137" s="8" t="inlineStr">
        <is>
          <t>One tool replaces three; morning-routine time-lapse</t>
        </is>
      </c>
      <c r="V137" s="8" t="inlineStr">
        <is>
          <t>India list and Daraz Nepal price both confirmed on live pages during research.</t>
        </is>
      </c>
      <c r="W137" s="16">
        <f>IFERROR(ROUND(MIN(10,O137/1500)*IF(E137="Profit",1.4,1),2),"")</f>
        <v/>
      </c>
    </row>
    <row r="138" ht="30" customHeight="1">
      <c r="A138" s="10" t="inlineStr">
        <is>
          <t>ETP-134</t>
        </is>
      </c>
      <c r="B138" s="8" t="inlineStr">
        <is>
          <t>Ikonic Me Pedi Express Callus Remover</t>
        </is>
      </c>
      <c r="C138" s="10" t="inlineStr">
        <is>
          <t>Ikonic</t>
        </is>
      </c>
      <c r="D138" s="10" t="inlineStr">
        <is>
          <t>Multi-Stylers</t>
        </is>
      </c>
      <c r="E138" s="10" t="inlineStr">
        <is>
          <t>Traffic</t>
        </is>
      </c>
      <c r="F138" s="10" t="inlineStr">
        <is>
          <t>D2C</t>
        </is>
      </c>
      <c r="G138" s="8" t="inlineStr">
        <is>
          <t>First-tool buyer who wants dry + style in one</t>
        </is>
      </c>
      <c r="H138" s="11" t="n">
        <v>1398</v>
      </c>
      <c r="I138" s="11" t="n">
        <v>2150</v>
      </c>
      <c r="J138" s="11" t="n"/>
      <c r="K138" s="12" t="inlineStr">
        <is>
          <t>NO-NEPAL-LISTING</t>
        </is>
      </c>
      <c r="L138" s="13">
        <f>IF(J138&gt;0,J138,ROUND(P138/(1-M138),-1))</f>
        <v/>
      </c>
      <c r="M138" s="14" t="n">
        <v>0.275</v>
      </c>
      <c r="N138" s="13">
        <f>ROUND(L138*(1-M138),0)</f>
        <v/>
      </c>
      <c r="O138" s="13">
        <f>L138-N138</f>
        <v/>
      </c>
      <c r="P138" s="13">
        <f>IF(H138&gt;0,ROUND(H138*(1-IF(E138="Profit",DIST_FURN,DIST_TOOL))*FX_PEG*LANDED_MULT,0),"")</f>
        <v/>
      </c>
      <c r="Q138" s="8" t="inlineStr">
        <is>
          <t>https://www.ikonicworld.com/products/ikonic-me-pedi-express-callus-remover</t>
        </is>
      </c>
      <c r="R138" s="8" t="inlineStr">
        <is>
          <t>High - daily styling + festival peaks</t>
        </is>
      </c>
      <c r="S138" s="8" t="inlineStr">
        <is>
          <t>High - price-transparent on Daraz</t>
        </is>
      </c>
      <c r="T138" s="15">
        <f>IF(E138="Profit",1,IF(O138&gt;2500,2,3))</f>
        <v/>
      </c>
      <c r="U138" s="8" t="inlineStr">
        <is>
          <t>One tool replaces three; morning-routine time-lapse</t>
        </is>
      </c>
      <c r="V138" s="8" t="inlineStr">
        <is>
          <t>No Daraz Nepal listing found. Price set from landed cost + target margin. You set the anchor here.</t>
        </is>
      </c>
      <c r="W138" s="16">
        <f>IFERROR(ROUND(MIN(10,O138/1500)*IF(E138="Profit",1.4,1),2),"")</f>
        <v/>
      </c>
    </row>
    <row r="139" ht="30" customHeight="1">
      <c r="A139" s="10" t="inlineStr">
        <is>
          <t>ETP-135</t>
        </is>
      </c>
      <c r="B139" s="8" t="inlineStr">
        <is>
          <t>Ikonic Professional Pro Curl Hair Curler</t>
        </is>
      </c>
      <c r="C139" s="10" t="inlineStr">
        <is>
          <t>Ikonic</t>
        </is>
      </c>
      <c r="D139" s="10" t="inlineStr">
        <is>
          <t>Curlers</t>
        </is>
      </c>
      <c r="E139" s="10" t="inlineStr">
        <is>
          <t>Traffic</t>
        </is>
      </c>
      <c r="F139" s="10" t="inlineStr">
        <is>
          <t>D2C</t>
        </is>
      </c>
      <c r="G139" s="8" t="inlineStr">
        <is>
          <t>Women 18-30, occasion styling, reels-driven</t>
        </is>
      </c>
      <c r="H139" s="11" t="n">
        <v>4290</v>
      </c>
      <c r="I139" s="11" t="n">
        <v>7150</v>
      </c>
      <c r="J139" s="11" t="n"/>
      <c r="K139" s="12" t="inlineStr">
        <is>
          <t>NO-NEPAL-LISTING</t>
        </is>
      </c>
      <c r="L139" s="13">
        <f>IF(J139&gt;0,J139,ROUND(P139/(1-M139),-1))</f>
        <v/>
      </c>
      <c r="M139" s="14" t="n">
        <v>0.275</v>
      </c>
      <c r="N139" s="13">
        <f>ROUND(L139*(1-M139),0)</f>
        <v/>
      </c>
      <c r="O139" s="13">
        <f>L139-N139</f>
        <v/>
      </c>
      <c r="P139" s="13">
        <f>IF(H139&gt;0,ROUND(H139*(1-IF(E139="Profit",DIST_FURN,DIST_TOOL))*FX_PEG*LANDED_MULT,0),"")</f>
        <v/>
      </c>
      <c r="Q139" s="8" t="inlineStr">
        <is>
          <t>https://www.ikonicworld.com/products/ikonic-pro-hair-curler-black</t>
        </is>
      </c>
      <c r="R139" s="8" t="inlineStr">
        <is>
          <t>High - daily styling + festival peaks</t>
        </is>
      </c>
      <c r="S139" s="8" t="inlineStr">
        <is>
          <t>High - price-transparent on Daraz</t>
        </is>
      </c>
      <c r="T139" s="15">
        <f>IF(E139="Profit",1,IF(O139&gt;2500,2,3))</f>
        <v/>
      </c>
      <c r="U139" s="8" t="inlineStr">
        <is>
          <t>Trending-audio transformation reel; hold-test after 8 hours</t>
        </is>
      </c>
      <c r="V139" s="8" t="inlineStr">
        <is>
          <t>No Daraz Nepal listing found. Price set from landed cost + target margin. You set the anchor here.</t>
        </is>
      </c>
      <c r="W139" s="16">
        <f>IFERROR(ROUND(MIN(10,O139/1500)*IF(E139="Profit",1.4,1),2),"")</f>
        <v/>
      </c>
    </row>
    <row r="140" ht="30" customHeight="1">
      <c r="A140" s="10" t="inlineStr">
        <is>
          <t>ETP-136</t>
        </is>
      </c>
      <c r="B140" s="8" t="inlineStr">
        <is>
          <t>Ikonic Professional Pro Waver Large Hair Styler</t>
        </is>
      </c>
      <c r="C140" s="10" t="inlineStr">
        <is>
          <t>Ikonic</t>
        </is>
      </c>
      <c r="D140" s="10" t="inlineStr">
        <is>
          <t>Curlers</t>
        </is>
      </c>
      <c r="E140" s="10" t="inlineStr">
        <is>
          <t>Traffic</t>
        </is>
      </c>
      <c r="F140" s="10" t="inlineStr">
        <is>
          <t>D2C</t>
        </is>
      </c>
      <c r="G140" s="8" t="inlineStr">
        <is>
          <t>Women 18-30, occasion styling, reels-driven</t>
        </is>
      </c>
      <c r="H140" s="11" t="n">
        <v>4020</v>
      </c>
      <c r="I140" s="11" t="n">
        <v>6700</v>
      </c>
      <c r="J140" s="11" t="n"/>
      <c r="K140" s="12" t="inlineStr">
        <is>
          <t>NO-NEPAL-LISTING</t>
        </is>
      </c>
      <c r="L140" s="13">
        <f>IF(J140&gt;0,J140,ROUND(P140/(1-M140),-1))</f>
        <v/>
      </c>
      <c r="M140" s="14" t="n">
        <v>0.275</v>
      </c>
      <c r="N140" s="13">
        <f>ROUND(L140*(1-M140),0)</f>
        <v/>
      </c>
      <c r="O140" s="13">
        <f>L140-N140</f>
        <v/>
      </c>
      <c r="P140" s="13">
        <f>IF(H140&gt;0,ROUND(H140*(1-IF(E140="Profit",DIST_FURN,DIST_TOOL))*FX_PEG*LANDED_MULT,0),"")</f>
        <v/>
      </c>
      <c r="Q140" s="8" t="inlineStr">
        <is>
          <t>https://www.ikonicworld.com/products/pro-waver-large</t>
        </is>
      </c>
      <c r="R140" s="8" t="inlineStr">
        <is>
          <t>High - daily styling + festival peaks</t>
        </is>
      </c>
      <c r="S140" s="8" t="inlineStr">
        <is>
          <t>High - price-transparent on Daraz</t>
        </is>
      </c>
      <c r="T140" s="15">
        <f>IF(E140="Profit",1,IF(O140&gt;2500,2,3))</f>
        <v/>
      </c>
      <c r="U140" s="8" t="inlineStr">
        <is>
          <t>Trending-audio transformation reel; hold-test after 8 hours</t>
        </is>
      </c>
      <c r="V140" s="8" t="inlineStr">
        <is>
          <t>No Daraz Nepal listing found. Price set from landed cost + target margin. You set the anchor here.</t>
        </is>
      </c>
      <c r="W140" s="16">
        <f>IFERROR(ROUND(MIN(10,O140/1500)*IF(E140="Profit",1.4,1),2),"")</f>
        <v/>
      </c>
    </row>
    <row r="141" ht="30" customHeight="1">
      <c r="A141" s="10" t="inlineStr">
        <is>
          <t>ETP-137</t>
        </is>
      </c>
      <c r="B141" s="8" t="inlineStr">
        <is>
          <t>Ikonic Professional Hot Wand 2.0</t>
        </is>
      </c>
      <c r="C141" s="10" t="inlineStr">
        <is>
          <t>Ikonic</t>
        </is>
      </c>
      <c r="D141" s="10" t="inlineStr">
        <is>
          <t>Curlers</t>
        </is>
      </c>
      <c r="E141" s="10" t="inlineStr">
        <is>
          <t>Traffic</t>
        </is>
      </c>
      <c r="F141" s="10" t="inlineStr">
        <is>
          <t>D2C</t>
        </is>
      </c>
      <c r="G141" s="8" t="inlineStr">
        <is>
          <t>Women 18-30, occasion styling, reels-driven</t>
        </is>
      </c>
      <c r="H141" s="11" t="n">
        <v>3150</v>
      </c>
      <c r="I141" s="11" t="n">
        <v>4500</v>
      </c>
      <c r="J141" s="11" t="n"/>
      <c r="K141" s="12" t="inlineStr">
        <is>
          <t>NO-NEPAL-LISTING</t>
        </is>
      </c>
      <c r="L141" s="13">
        <f>IF(J141&gt;0,J141,ROUND(P141/(1-M141),-1))</f>
        <v/>
      </c>
      <c r="M141" s="14" t="n">
        <v>0.275</v>
      </c>
      <c r="N141" s="13">
        <f>ROUND(L141*(1-M141),0)</f>
        <v/>
      </c>
      <c r="O141" s="13">
        <f>L141-N141</f>
        <v/>
      </c>
      <c r="P141" s="13">
        <f>IF(H141&gt;0,ROUND(H141*(1-IF(E141="Profit",DIST_FURN,DIST_TOOL))*FX_PEG*LANDED_MULT,0),"")</f>
        <v/>
      </c>
      <c r="Q141" s="8" t="inlineStr">
        <is>
          <t>https://www.ikonicworld.com/products/ikonic-professional-hot-wand-2-0</t>
        </is>
      </c>
      <c r="R141" s="8" t="inlineStr">
        <is>
          <t>High - daily styling + festival peaks</t>
        </is>
      </c>
      <c r="S141" s="8" t="inlineStr">
        <is>
          <t>High - price-transparent on Daraz</t>
        </is>
      </c>
      <c r="T141" s="15">
        <f>IF(E141="Profit",1,IF(O141&gt;2500,2,3))</f>
        <v/>
      </c>
      <c r="U141" s="8" t="inlineStr">
        <is>
          <t>Trending-audio transformation reel; hold-test after 8 hours</t>
        </is>
      </c>
      <c r="V141" s="8" t="inlineStr">
        <is>
          <t>No Daraz Nepal listing found. Price set from landed cost + target margin. You set the anchor here.</t>
        </is>
      </c>
      <c r="W141" s="16">
        <f>IFERROR(ROUND(MIN(10,O141/1500)*IF(E141="Profit",1.4,1),2),"")</f>
        <v/>
      </c>
    </row>
    <row r="142" ht="30" customHeight="1">
      <c r="A142" s="10" t="inlineStr">
        <is>
          <t>ETP-138</t>
        </is>
      </c>
      <c r="B142" s="8" t="inlineStr">
        <is>
          <t>Ikonic Professional Curling Tong 2.0 Hair Curler</t>
        </is>
      </c>
      <c r="C142" s="10" t="inlineStr">
        <is>
          <t>Ikonic</t>
        </is>
      </c>
      <c r="D142" s="10" t="inlineStr">
        <is>
          <t>Curlers</t>
        </is>
      </c>
      <c r="E142" s="10" t="inlineStr">
        <is>
          <t>Traffic</t>
        </is>
      </c>
      <c r="F142" s="10" t="inlineStr">
        <is>
          <t>D2C</t>
        </is>
      </c>
      <c r="G142" s="8" t="inlineStr">
        <is>
          <t>Women 18-30, occasion styling, reels-driven</t>
        </is>
      </c>
      <c r="H142" s="11" t="n">
        <v>3115</v>
      </c>
      <c r="I142" s="11" t="n">
        <v>4450</v>
      </c>
      <c r="J142" s="11" t="n">
        <v>6600</v>
      </c>
      <c r="K142" s="17" t="inlineStr">
        <is>
          <t>LIKELY-MATCH</t>
        </is>
      </c>
      <c r="L142" s="13">
        <f>IF(J142&gt;0,J142,ROUND(P142/(1-M142),-1))</f>
        <v/>
      </c>
      <c r="M142" s="14" t="n">
        <v>0.275</v>
      </c>
      <c r="N142" s="13">
        <f>ROUND(L142*(1-M142),0)</f>
        <v/>
      </c>
      <c r="O142" s="13">
        <f>L142-N142</f>
        <v/>
      </c>
      <c r="P142" s="13">
        <f>IF(H142&gt;0,ROUND(H142*(1-IF(E142="Profit",DIST_FURN,DIST_TOOL))*FX_PEG*LANDED_MULT,0),"")</f>
        <v/>
      </c>
      <c r="Q142" s="8" t="inlineStr">
        <is>
          <t>https://www.daraz.com.np/products/ikonic-professional-curling-tong-black-golden-i133819976.html</t>
        </is>
      </c>
      <c r="R142" s="8" t="inlineStr">
        <is>
          <t>High - daily styling + festival peaks</t>
        </is>
      </c>
      <c r="S142" s="8" t="inlineStr">
        <is>
          <t>High - price-transparent on Daraz</t>
        </is>
      </c>
      <c r="T142" s="15">
        <f>IF(E142="Profit",1,IF(O142&gt;2500,2,3))</f>
        <v/>
      </c>
      <c r="U142" s="8" t="inlineStr">
        <is>
          <t>Trending-audio transformation reel; hold-test after 8 hours</t>
        </is>
      </c>
      <c r="V142" s="8" t="inlineStr">
        <is>
          <t>Name-matched to Daraz listing "Ikonic Professional Curling Tong (BLACK &amp; GOLDEN)". Open the link and confirm same model before pricing.</t>
        </is>
      </c>
      <c r="W142" s="16">
        <f>IFERROR(ROUND(MIN(10,O142/1500)*IF(E142="Profit",1.4,1),2),"")</f>
        <v/>
      </c>
    </row>
    <row r="143" ht="30" customHeight="1">
      <c r="A143" s="10" t="inlineStr">
        <is>
          <t>ETP-139</t>
        </is>
      </c>
      <c r="B143" s="8" t="inlineStr">
        <is>
          <t>Ikonic Professional Conical Tong  Hair Curler</t>
        </is>
      </c>
      <c r="C143" s="10" t="inlineStr">
        <is>
          <t>Ikonic</t>
        </is>
      </c>
      <c r="D143" s="10" t="inlineStr">
        <is>
          <t>Curlers</t>
        </is>
      </c>
      <c r="E143" s="10" t="inlineStr">
        <is>
          <t>Traffic</t>
        </is>
      </c>
      <c r="F143" s="10" t="inlineStr">
        <is>
          <t>D2C</t>
        </is>
      </c>
      <c r="G143" s="8" t="inlineStr">
        <is>
          <t>Women 18-30, occasion styling, reels-driven</t>
        </is>
      </c>
      <c r="H143" s="11" t="n">
        <v>2698</v>
      </c>
      <c r="I143" s="11" t="n">
        <v>4150</v>
      </c>
      <c r="J143" s="11" t="n"/>
      <c r="K143" s="12" t="inlineStr">
        <is>
          <t>NO-NEPAL-LISTING</t>
        </is>
      </c>
      <c r="L143" s="13">
        <f>IF(J143&gt;0,J143,ROUND(P143/(1-M143),-1))</f>
        <v/>
      </c>
      <c r="M143" s="14" t="n">
        <v>0.275</v>
      </c>
      <c r="N143" s="13">
        <f>ROUND(L143*(1-M143),0)</f>
        <v/>
      </c>
      <c r="O143" s="13">
        <f>L143-N143</f>
        <v/>
      </c>
      <c r="P143" s="13">
        <f>IF(H143&gt;0,ROUND(H143*(1-IF(E143="Profit",DIST_FURN,DIST_TOOL))*FX_PEG*LANDED_MULT,0),"")</f>
        <v/>
      </c>
      <c r="Q143" s="8" t="inlineStr">
        <is>
          <t>https://www.ikonicworld.com/products/ikonic-conical-tong-hair-curler-cnt-19</t>
        </is>
      </c>
      <c r="R143" s="8" t="inlineStr">
        <is>
          <t>High - daily styling + festival peaks</t>
        </is>
      </c>
      <c r="S143" s="8" t="inlineStr">
        <is>
          <t>High - price-transparent on Daraz</t>
        </is>
      </c>
      <c r="T143" s="15">
        <f>IF(E143="Profit",1,IF(O143&gt;2500,2,3))</f>
        <v/>
      </c>
      <c r="U143" s="8" t="inlineStr">
        <is>
          <t>Trending-audio transformation reel; hold-test after 8 hours</t>
        </is>
      </c>
      <c r="V143" s="8" t="inlineStr">
        <is>
          <t>No Daraz Nepal listing found. Price set from landed cost + target margin. You set the anchor here.</t>
        </is>
      </c>
      <c r="W143" s="16">
        <f>IFERROR(ROUND(MIN(10,O143/1500)*IF(E143="Profit",1.4,1),2),"")</f>
        <v/>
      </c>
    </row>
    <row r="144" ht="30" customHeight="1">
      <c r="A144" s="10" t="inlineStr">
        <is>
          <t>ETP-140</t>
        </is>
      </c>
      <c r="B144" s="8" t="inlineStr">
        <is>
          <t>Ikonic Professional Curling Tong Hair Curler</t>
        </is>
      </c>
      <c r="C144" s="10" t="inlineStr">
        <is>
          <t>Ikonic</t>
        </is>
      </c>
      <c r="D144" s="10" t="inlineStr">
        <is>
          <t>Curlers</t>
        </is>
      </c>
      <c r="E144" s="10" t="inlineStr">
        <is>
          <t>Traffic</t>
        </is>
      </c>
      <c r="F144" s="10" t="inlineStr">
        <is>
          <t>D2C</t>
        </is>
      </c>
      <c r="G144" s="8" t="inlineStr">
        <is>
          <t>Women 18-30, occasion styling, reels-driven</t>
        </is>
      </c>
      <c r="H144" s="11" t="n">
        <v>2400</v>
      </c>
      <c r="I144" s="11" t="n">
        <v>4000</v>
      </c>
      <c r="J144" s="11" t="n">
        <v>6600</v>
      </c>
      <c r="K144" s="12" t="inlineStr">
        <is>
          <t>VERIFIED</t>
        </is>
      </c>
      <c r="L144" s="13">
        <f>IF(J144&gt;0,J144,ROUND(P144/(1-M144),-1))</f>
        <v/>
      </c>
      <c r="M144" s="14" t="n">
        <v>0.275</v>
      </c>
      <c r="N144" s="13">
        <f>ROUND(L144*(1-M144),0)</f>
        <v/>
      </c>
      <c r="O144" s="13">
        <f>L144-N144</f>
        <v/>
      </c>
      <c r="P144" s="13">
        <f>IF(H144&gt;0,ROUND(H144*(1-IF(E144="Profit",DIST_FURN,DIST_TOOL))*FX_PEG*LANDED_MULT,0),"")</f>
        <v/>
      </c>
      <c r="Q144" s="8" t="inlineStr">
        <is>
          <t>https://www.daraz.com.np/products/ikonic-professional-curling-tong-black-golden-i133819976.html</t>
        </is>
      </c>
      <c r="R144" s="8" t="inlineStr">
        <is>
          <t>High - daily styling + festival peaks</t>
        </is>
      </c>
      <c r="S144" s="8" t="inlineStr">
        <is>
          <t>High - price-transparent on Daraz</t>
        </is>
      </c>
      <c r="T144" s="15">
        <f>IF(E144="Profit",1,IF(O144&gt;2500,2,3))</f>
        <v/>
      </c>
      <c r="U144" s="8" t="inlineStr">
        <is>
          <t>Trending-audio transformation reel; hold-test after 8 hours</t>
        </is>
      </c>
      <c r="V144" s="8" t="inlineStr">
        <is>
          <t>India list and Daraz Nepal price both confirmed on live pages during research.</t>
        </is>
      </c>
      <c r="W144" s="16">
        <f>IFERROR(ROUND(MIN(10,O144/1500)*IF(E144="Profit",1.4,1),2),"")</f>
        <v/>
      </c>
    </row>
    <row r="145" ht="30" customHeight="1">
      <c r="A145" s="10" t="inlineStr">
        <is>
          <t>ETP-141</t>
        </is>
      </c>
      <c r="B145" s="8" t="inlineStr">
        <is>
          <t>Ikonic Me Curl-me-up Hair Styler</t>
        </is>
      </c>
      <c r="C145" s="10" t="inlineStr">
        <is>
          <t>Ikonic</t>
        </is>
      </c>
      <c r="D145" s="10" t="inlineStr">
        <is>
          <t>Curlers</t>
        </is>
      </c>
      <c r="E145" s="10" t="inlineStr">
        <is>
          <t>Traffic</t>
        </is>
      </c>
      <c r="F145" s="10" t="inlineStr">
        <is>
          <t>D2C</t>
        </is>
      </c>
      <c r="G145" s="8" t="inlineStr">
        <is>
          <t>Women 18-30, occasion styling, reels-driven</t>
        </is>
      </c>
      <c r="H145" s="11" t="n">
        <v>2135</v>
      </c>
      <c r="I145" s="11" t="n">
        <v>3050</v>
      </c>
      <c r="J145" s="11" t="n"/>
      <c r="K145" s="12" t="inlineStr">
        <is>
          <t>NO-NEPAL-LISTING</t>
        </is>
      </c>
      <c r="L145" s="13">
        <f>IF(J145&gt;0,J145,ROUND(P145/(1-M145),-1))</f>
        <v/>
      </c>
      <c r="M145" s="14" t="n">
        <v>0.275</v>
      </c>
      <c r="N145" s="13">
        <f>ROUND(L145*(1-M145),0)</f>
        <v/>
      </c>
      <c r="O145" s="13">
        <f>L145-N145</f>
        <v/>
      </c>
      <c r="P145" s="13">
        <f>IF(H145&gt;0,ROUND(H145*(1-IF(E145="Profit",DIST_FURN,DIST_TOOL))*FX_PEG*LANDED_MULT,0),"")</f>
        <v/>
      </c>
      <c r="Q145" s="8" t="inlineStr">
        <is>
          <t>https://www.ikonicworld.com/products/ikonic-curl-me-up-19mm-grey</t>
        </is>
      </c>
      <c r="R145" s="8" t="inlineStr">
        <is>
          <t>High - daily styling + festival peaks</t>
        </is>
      </c>
      <c r="S145" s="8" t="inlineStr">
        <is>
          <t>High - price-transparent on Daraz</t>
        </is>
      </c>
      <c r="T145" s="15">
        <f>IF(E145="Profit",1,IF(O145&gt;2500,2,3))</f>
        <v/>
      </c>
      <c r="U145" s="8" t="inlineStr">
        <is>
          <t>Trending-audio transformation reel; hold-test after 8 hours</t>
        </is>
      </c>
      <c r="V145" s="8" t="inlineStr">
        <is>
          <t>No Daraz Nepal listing found. Price set from landed cost + target margin. You set the anchor here.</t>
        </is>
      </c>
      <c r="W145" s="16">
        <f>IFERROR(ROUND(MIN(10,O145/1500)*IF(E145="Profit",1.4,1),2),"")</f>
        <v/>
      </c>
    </row>
    <row r="146" ht="30" customHeight="1">
      <c r="A146" s="10" t="inlineStr">
        <is>
          <t>ETP-142</t>
        </is>
      </c>
      <c r="B146" s="8" t="inlineStr">
        <is>
          <t>Ikonic Professional Pro Titanium Crimp Hair Crimper</t>
        </is>
      </c>
      <c r="C146" s="10" t="inlineStr">
        <is>
          <t>Ikonic</t>
        </is>
      </c>
      <c r="D146" s="10" t="inlineStr">
        <is>
          <t>Crimpers</t>
        </is>
      </c>
      <c r="E146" s="10" t="inlineStr">
        <is>
          <t>Traffic</t>
        </is>
      </c>
      <c r="F146" s="10" t="inlineStr">
        <is>
          <t>D2C</t>
        </is>
      </c>
      <c r="G146" s="8" t="inlineStr">
        <is>
          <t>Stylists and trend-followers, texture looks</t>
        </is>
      </c>
      <c r="H146" s="11" t="n">
        <v>5250</v>
      </c>
      <c r="I146" s="11" t="n">
        <v>7500</v>
      </c>
      <c r="J146" s="11" t="n">
        <v>9800</v>
      </c>
      <c r="K146" s="17" t="inlineStr">
        <is>
          <t>LIKELY-MATCH</t>
        </is>
      </c>
      <c r="L146" s="13">
        <f>IF(J146&gt;0,J146,ROUND(P146/(1-M146),-1))</f>
        <v/>
      </c>
      <c r="M146" s="14" t="n">
        <v>0.275</v>
      </c>
      <c r="N146" s="13">
        <f>ROUND(L146*(1-M146),0)</f>
        <v/>
      </c>
      <c r="O146" s="13">
        <f>L146-N146</f>
        <v/>
      </c>
      <c r="P146" s="13">
        <f>IF(H146&gt;0,ROUND(H146*(1-IF(E146="Profit",DIST_FURN,DIST_TOOL))*FX_PEG*LANDED_MULT,0),"")</f>
        <v/>
      </c>
      <c r="Q146" s="8" t="inlineStr">
        <is>
          <t>https://www.daraz.com.np/products/ikonic-titanium-crimp-by-genuine-collection-i105580317.html</t>
        </is>
      </c>
      <c r="R146" s="8" t="inlineStr">
        <is>
          <t>High - daily styling + festival peaks</t>
        </is>
      </c>
      <c r="S146" s="8" t="inlineStr">
        <is>
          <t>High - price-transparent on Daraz</t>
        </is>
      </c>
      <c r="T146" s="15">
        <f>IF(E146="Profit",1,IF(O146&gt;2500,2,3))</f>
        <v/>
      </c>
      <c r="U146" s="8" t="inlineStr">
        <is>
          <t>Texture/volume transformation; festival hairstyle tutorial</t>
        </is>
      </c>
      <c r="V146" s="8" t="inlineStr">
        <is>
          <t>Name-matched to Daraz listing "IKONIC TITANIUM CRIMP By Genuine Collection". Open the link and confirm same model before pricing.</t>
        </is>
      </c>
      <c r="W146" s="16">
        <f>IFERROR(ROUND(MIN(10,O146/1500)*IF(E146="Profit",1.4,1),2),"")</f>
        <v/>
      </c>
    </row>
    <row r="147" ht="30" customHeight="1">
      <c r="A147" s="10" t="inlineStr">
        <is>
          <t>ETP-143</t>
        </is>
      </c>
      <c r="B147" s="8" t="inlineStr">
        <is>
          <t>Ikonic Professional Pro Titanium Crimp Emerald Hair Crimper</t>
        </is>
      </c>
      <c r="C147" s="10" t="inlineStr">
        <is>
          <t>Ikonic</t>
        </is>
      </c>
      <c r="D147" s="10" t="inlineStr">
        <is>
          <t>Crimpers</t>
        </is>
      </c>
      <c r="E147" s="10" t="inlineStr">
        <is>
          <t>Traffic</t>
        </is>
      </c>
      <c r="F147" s="10" t="inlineStr">
        <is>
          <t>D2C</t>
        </is>
      </c>
      <c r="G147" s="8" t="inlineStr">
        <is>
          <t>Stylists and trend-followers, texture looks</t>
        </is>
      </c>
      <c r="H147" s="11" t="n">
        <v>5250</v>
      </c>
      <c r="I147" s="11" t="n">
        <v>8750</v>
      </c>
      <c r="J147" s="11" t="n">
        <v>9800</v>
      </c>
      <c r="K147" s="17" t="inlineStr">
        <is>
          <t>LIKELY-MATCH</t>
        </is>
      </c>
      <c r="L147" s="13">
        <f>IF(J147&gt;0,J147,ROUND(P147/(1-M147),-1))</f>
        <v/>
      </c>
      <c r="M147" s="14" t="n">
        <v>0.275</v>
      </c>
      <c r="N147" s="13">
        <f>ROUND(L147*(1-M147),0)</f>
        <v/>
      </c>
      <c r="O147" s="13">
        <f>L147-N147</f>
        <v/>
      </c>
      <c r="P147" s="13">
        <f>IF(H147&gt;0,ROUND(H147*(1-IF(E147="Profit",DIST_FURN,DIST_TOOL))*FX_PEG*LANDED_MULT,0),"")</f>
        <v/>
      </c>
      <c r="Q147" s="8" t="inlineStr">
        <is>
          <t>https://www.daraz.com.np/products/ikonic-titanium-crimp-by-genuine-collection-i105580317.html</t>
        </is>
      </c>
      <c r="R147" s="8" t="inlineStr">
        <is>
          <t>High - daily styling + festival peaks</t>
        </is>
      </c>
      <c r="S147" s="8" t="inlineStr">
        <is>
          <t>High - price-transparent on Daraz</t>
        </is>
      </c>
      <c r="T147" s="15">
        <f>IF(E147="Profit",1,IF(O147&gt;2500,2,3))</f>
        <v/>
      </c>
      <c r="U147" s="8" t="inlineStr">
        <is>
          <t>Texture/volume transformation; festival hairstyle tutorial</t>
        </is>
      </c>
      <c r="V147" s="8" t="inlineStr">
        <is>
          <t>Name-matched to Daraz listing "IKONIC TITANIUM CRIMP By Genuine Collection". Open the link and confirm same model before pricing.</t>
        </is>
      </c>
      <c r="W147" s="16">
        <f>IFERROR(ROUND(MIN(10,O147/1500)*IF(E147="Profit",1.4,1),2),"")</f>
        <v/>
      </c>
    </row>
    <row r="148" ht="30" customHeight="1">
      <c r="A148" s="10" t="inlineStr">
        <is>
          <t>ETP-144</t>
        </is>
      </c>
      <c r="B148" s="8" t="inlineStr">
        <is>
          <t>Ikonic Professional Slim Titanium Crimp 2.0 Hair Crimper</t>
        </is>
      </c>
      <c r="C148" s="10" t="inlineStr">
        <is>
          <t>Ikonic</t>
        </is>
      </c>
      <c r="D148" s="10" t="inlineStr">
        <is>
          <t>Crimpers</t>
        </is>
      </c>
      <c r="E148" s="10" t="inlineStr">
        <is>
          <t>Traffic</t>
        </is>
      </c>
      <c r="F148" s="10" t="inlineStr">
        <is>
          <t>D2C</t>
        </is>
      </c>
      <c r="G148" s="8" t="inlineStr">
        <is>
          <t>Stylists and trend-followers, texture looks</t>
        </is>
      </c>
      <c r="H148" s="11" t="n">
        <v>4900</v>
      </c>
      <c r="I148" s="11" t="n">
        <v>7000</v>
      </c>
      <c r="J148" s="11" t="n">
        <v>8880</v>
      </c>
      <c r="K148" s="17" t="inlineStr">
        <is>
          <t>LIKELY-MATCH</t>
        </is>
      </c>
      <c r="L148" s="13">
        <f>IF(J148&gt;0,J148,ROUND(P148/(1-M148),-1))</f>
        <v/>
      </c>
      <c r="M148" s="14" t="n">
        <v>0.275</v>
      </c>
      <c r="N148" s="13">
        <f>ROUND(L148*(1-M148),0)</f>
        <v/>
      </c>
      <c r="O148" s="13">
        <f>L148-N148</f>
        <v/>
      </c>
      <c r="P148" s="13">
        <f>IF(H148&gt;0,ROUND(H148*(1-IF(E148="Profit",DIST_FURN,DIST_TOOL))*FX_PEG*LANDED_MULT,0),"")</f>
        <v/>
      </c>
      <c r="Q148" s="8" t="inlineStr">
        <is>
          <t>https://www.daraz.com.np/products/ikonic-professional-titanium-hair-slim-crimper-styler-i125583057.html</t>
        </is>
      </c>
      <c r="R148" s="8" t="inlineStr">
        <is>
          <t>High - daily styling + festival peaks</t>
        </is>
      </c>
      <c r="S148" s="8" t="inlineStr">
        <is>
          <t>High - price-transparent on Daraz</t>
        </is>
      </c>
      <c r="T148" s="15">
        <f>IF(E148="Profit",1,IF(O148&gt;2500,2,3))</f>
        <v/>
      </c>
      <c r="U148" s="8" t="inlineStr">
        <is>
          <t>Texture/volume transformation; festival hairstyle tutorial</t>
        </is>
      </c>
      <c r="V148" s="8" t="inlineStr">
        <is>
          <t>Name-matched to Daraz listing "IKONIC Professional Titanium Hair Slim Crimper Styler". Open the link and confirm same model before pricing.</t>
        </is>
      </c>
      <c r="W148" s="16">
        <f>IFERROR(ROUND(MIN(10,O148/1500)*IF(E148="Profit",1.4,1),2),"")</f>
        <v/>
      </c>
    </row>
    <row r="149" ht="30" customHeight="1">
      <c r="A149" s="10" t="inlineStr">
        <is>
          <t>ETP-145</t>
        </is>
      </c>
      <c r="B149" s="8" t="inlineStr">
        <is>
          <t>Ikonic Professional Super Crimper Hair Styler</t>
        </is>
      </c>
      <c r="C149" s="10" t="inlineStr">
        <is>
          <t>Ikonic</t>
        </is>
      </c>
      <c r="D149" s="10" t="inlineStr">
        <is>
          <t>Crimpers</t>
        </is>
      </c>
      <c r="E149" s="10" t="inlineStr">
        <is>
          <t>Traffic</t>
        </is>
      </c>
      <c r="F149" s="10" t="inlineStr">
        <is>
          <t>D2C</t>
        </is>
      </c>
      <c r="G149" s="8" t="inlineStr">
        <is>
          <t>Stylists and trend-followers, texture looks</t>
        </is>
      </c>
      <c r="H149" s="11" t="n">
        <v>3150</v>
      </c>
      <c r="I149" s="11" t="n">
        <v>5250</v>
      </c>
      <c r="J149" s="11" t="n"/>
      <c r="K149" s="12" t="inlineStr">
        <is>
          <t>NO-NEPAL-LISTING</t>
        </is>
      </c>
      <c r="L149" s="13">
        <f>IF(J149&gt;0,J149,ROUND(P149/(1-M149),-1))</f>
        <v/>
      </c>
      <c r="M149" s="14" t="n">
        <v>0.275</v>
      </c>
      <c r="N149" s="13">
        <f>ROUND(L149*(1-M149),0)</f>
        <v/>
      </c>
      <c r="O149" s="13">
        <f>L149-N149</f>
        <v/>
      </c>
      <c r="P149" s="13">
        <f>IF(H149&gt;0,ROUND(H149*(1-IF(E149="Profit",DIST_FURN,DIST_TOOL))*FX_PEG*LANDED_MULT,0),"")</f>
        <v/>
      </c>
      <c r="Q149" s="8" t="inlineStr">
        <is>
          <t>https://www.ikonicworld.com/products/ikonic-super-crimper</t>
        </is>
      </c>
      <c r="R149" s="8" t="inlineStr">
        <is>
          <t>High - daily styling + festival peaks</t>
        </is>
      </c>
      <c r="S149" s="8" t="inlineStr">
        <is>
          <t>High - price-transparent on Daraz</t>
        </is>
      </c>
      <c r="T149" s="15">
        <f>IF(E149="Profit",1,IF(O149&gt;2500,2,3))</f>
        <v/>
      </c>
      <c r="U149" s="8" t="inlineStr">
        <is>
          <t>Texture/volume transformation; festival hairstyle tutorial</t>
        </is>
      </c>
      <c r="V149" s="8" t="inlineStr">
        <is>
          <t>No Daraz Nepal listing found. Price set from landed cost + target margin. You set the anchor here.</t>
        </is>
      </c>
      <c r="W149" s="16">
        <f>IFERROR(ROUND(MIN(10,O149/1500)*IF(E149="Profit",1.4,1),2),"")</f>
        <v/>
      </c>
    </row>
    <row r="150" ht="30" customHeight="1">
      <c r="A150" s="10" t="inlineStr">
        <is>
          <t>ETP-146</t>
        </is>
      </c>
      <c r="B150" s="8" t="inlineStr">
        <is>
          <t>Ikonic Professional Crimp &amp; Style Hair Styler</t>
        </is>
      </c>
      <c r="C150" s="10" t="inlineStr">
        <is>
          <t>Ikonic</t>
        </is>
      </c>
      <c r="D150" s="10" t="inlineStr">
        <is>
          <t>Crimpers</t>
        </is>
      </c>
      <c r="E150" s="10" t="inlineStr">
        <is>
          <t>Traffic</t>
        </is>
      </c>
      <c r="F150" s="10" t="inlineStr">
        <is>
          <t>D2C</t>
        </is>
      </c>
      <c r="G150" s="8" t="inlineStr">
        <is>
          <t>Stylists and trend-followers, texture looks</t>
        </is>
      </c>
      <c r="H150" s="11" t="n">
        <v>2800</v>
      </c>
      <c r="I150" s="11" t="n">
        <v>4000</v>
      </c>
      <c r="J150" s="11" t="n"/>
      <c r="K150" s="12" t="inlineStr">
        <is>
          <t>NO-NEPAL-LISTING</t>
        </is>
      </c>
      <c r="L150" s="13">
        <f>IF(J150&gt;0,J150,ROUND(P150/(1-M150),-1))</f>
        <v/>
      </c>
      <c r="M150" s="14" t="n">
        <v>0.275</v>
      </c>
      <c r="N150" s="13">
        <f>ROUND(L150*(1-M150),0)</f>
        <v/>
      </c>
      <c r="O150" s="13">
        <f>L150-N150</f>
        <v/>
      </c>
      <c r="P150" s="13">
        <f>IF(H150&gt;0,ROUND(H150*(1-IF(E150="Profit",DIST_FURN,DIST_TOOL))*FX_PEG*LANDED_MULT,0),"")</f>
        <v/>
      </c>
      <c r="Q150" s="8" t="inlineStr">
        <is>
          <t>https://www.ikonicworld.com/products/ikonic-crimp-style-hair-crimper-purple-black</t>
        </is>
      </c>
      <c r="R150" s="8" t="inlineStr">
        <is>
          <t>High - daily styling + festival peaks</t>
        </is>
      </c>
      <c r="S150" s="8" t="inlineStr">
        <is>
          <t>High - price-transparent on Daraz</t>
        </is>
      </c>
      <c r="T150" s="15">
        <f>IF(E150="Profit",1,IF(O150&gt;2500,2,3))</f>
        <v/>
      </c>
      <c r="U150" s="8" t="inlineStr">
        <is>
          <t>Texture/volume transformation; festival hairstyle tutorial</t>
        </is>
      </c>
      <c r="V150" s="8" t="inlineStr">
        <is>
          <t>No Daraz Nepal listing found. Price set from landed cost + target margin. You set the anchor here.</t>
        </is>
      </c>
      <c r="W150" s="16">
        <f>IFERROR(ROUND(MIN(10,O150/1500)*IF(E150="Profit",1.4,1),2),"")</f>
        <v/>
      </c>
    </row>
    <row r="151" ht="30" customHeight="1">
      <c r="A151" s="10" t="inlineStr">
        <is>
          <t>ETP-147</t>
        </is>
      </c>
      <c r="B151" s="8" t="inlineStr">
        <is>
          <t>Ikonic Me Xtreme Crimp Hair Styler</t>
        </is>
      </c>
      <c r="C151" s="10" t="inlineStr">
        <is>
          <t>Ikonic</t>
        </is>
      </c>
      <c r="D151" s="10" t="inlineStr">
        <is>
          <t>Crimpers</t>
        </is>
      </c>
      <c r="E151" s="10" t="inlineStr">
        <is>
          <t>Traffic</t>
        </is>
      </c>
      <c r="F151" s="10" t="inlineStr">
        <is>
          <t>D2C</t>
        </is>
      </c>
      <c r="G151" s="8" t="inlineStr">
        <is>
          <t>Stylists and trend-followers, texture looks</t>
        </is>
      </c>
      <c r="H151" s="11" t="n">
        <v>2438</v>
      </c>
      <c r="I151" s="11" t="n">
        <v>3750</v>
      </c>
      <c r="J151" s="11" t="n">
        <v>4800</v>
      </c>
      <c r="K151" s="12" t="inlineStr">
        <is>
          <t>VERIFIED</t>
        </is>
      </c>
      <c r="L151" s="13">
        <f>IF(J151&gt;0,J151,ROUND(P151/(1-M151),-1))</f>
        <v/>
      </c>
      <c r="M151" s="14" t="n">
        <v>0.275</v>
      </c>
      <c r="N151" s="13">
        <f>ROUND(L151*(1-M151),0)</f>
        <v/>
      </c>
      <c r="O151" s="13">
        <f>L151-N151</f>
        <v/>
      </c>
      <c r="P151" s="13">
        <f>IF(H151&gt;0,ROUND(H151*(1-IF(E151="Profit",DIST_FURN,DIST_TOOL))*FX_PEG*LANDED_MULT,0),"")</f>
        <v/>
      </c>
      <c r="Q151" s="8" t="inlineStr">
        <is>
          <t>https://www.daraz.com.np/products/ikonic-me-xtreme-crimp-hair-crimper-silver-by-ikonic-i1544752819.html</t>
        </is>
      </c>
      <c r="R151" s="8" t="inlineStr">
        <is>
          <t>High - daily styling + festival peaks</t>
        </is>
      </c>
      <c r="S151" s="8" t="inlineStr">
        <is>
          <t>High - price-transparent on Daraz</t>
        </is>
      </c>
      <c r="T151" s="15">
        <f>IF(E151="Profit",1,IF(O151&gt;2500,2,3))</f>
        <v/>
      </c>
      <c r="U151" s="8" t="inlineStr">
        <is>
          <t>Texture/volume transformation; festival hairstyle tutorial</t>
        </is>
      </c>
      <c r="V151" s="8" t="inlineStr">
        <is>
          <t>India list and Daraz Nepal price both confirmed on live pages during research.</t>
        </is>
      </c>
      <c r="W151" s="16">
        <f>IFERROR(ROUND(MIN(10,O151/1500)*IF(E151="Profit",1.4,1),2),"")</f>
        <v/>
      </c>
    </row>
    <row r="152" ht="30" customHeight="1">
      <c r="A152" s="10" t="inlineStr">
        <is>
          <t>ETP-148</t>
        </is>
      </c>
      <c r="B152" s="8" t="inlineStr">
        <is>
          <t>Ikonic Professional Pro Master Hair Clipper</t>
        </is>
      </c>
      <c r="C152" s="10" t="inlineStr">
        <is>
          <t>Ikonic</t>
        </is>
      </c>
      <c r="D152" s="10" t="inlineStr">
        <is>
          <t>Grooming</t>
        </is>
      </c>
      <c r="E152" s="10" t="inlineStr">
        <is>
          <t>Traffic</t>
        </is>
      </c>
      <c r="F152" s="10" t="inlineStr">
        <is>
          <t>D2C</t>
        </is>
      </c>
      <c r="G152" s="8" t="inlineStr">
        <is>
          <t>Home user, gifting, male grooming</t>
        </is>
      </c>
      <c r="H152" s="11" t="n">
        <v>3639</v>
      </c>
      <c r="I152" s="11" t="n">
        <v>5599</v>
      </c>
      <c r="J152" s="11" t="n"/>
      <c r="K152" s="12" t="inlineStr">
        <is>
          <t>NO-NEPAL-LISTING</t>
        </is>
      </c>
      <c r="L152" s="13">
        <f>IF(J152&gt;0,J152,ROUND(P152/(1-M152),-1))</f>
        <v/>
      </c>
      <c r="M152" s="14" t="n">
        <v>0.275</v>
      </c>
      <c r="N152" s="13">
        <f>ROUND(L152*(1-M152),0)</f>
        <v/>
      </c>
      <c r="O152" s="13">
        <f>L152-N152</f>
        <v/>
      </c>
      <c r="P152" s="13">
        <f>IF(H152&gt;0,ROUND(H152*(1-IF(E152="Profit",DIST_FURN,DIST_TOOL))*FX_PEG*LANDED_MULT,0),"")</f>
        <v/>
      </c>
      <c r="Q152" s="8" t="inlineStr">
        <is>
          <t>https://www.ikonicworld.com/products/pro-master-hair-clipper</t>
        </is>
      </c>
      <c r="R152" s="8" t="inlineStr">
        <is>
          <t>High - daily styling + festival peaks</t>
        </is>
      </c>
      <c r="S152" s="8" t="inlineStr">
        <is>
          <t>High - price-transparent on Daraz</t>
        </is>
      </c>
      <c r="T152" s="15">
        <f>IF(E152="Profit",1,IF(O152&gt;2500,2,3))</f>
        <v/>
      </c>
      <c r="U152" s="8" t="inlineStr">
        <is>
          <t>Before/after in 15s; gifting angle for festivals</t>
        </is>
      </c>
      <c r="V152" s="8" t="inlineStr">
        <is>
          <t>No Daraz Nepal listing found. Price set from landed cost + target margin. You set the anchor here.</t>
        </is>
      </c>
      <c r="W152" s="16">
        <f>IFERROR(ROUND(MIN(10,O152/1500)*IF(E152="Profit",1.4,1),2),"")</f>
        <v/>
      </c>
    </row>
    <row r="153" ht="30" customHeight="1">
      <c r="A153" s="10" t="inlineStr">
        <is>
          <t>ETP-149</t>
        </is>
      </c>
      <c r="B153" s="8" t="inlineStr">
        <is>
          <t>Ikonic Professional Pro Trim Hair Trimmer</t>
        </is>
      </c>
      <c r="C153" s="10" t="inlineStr">
        <is>
          <t>Ikonic</t>
        </is>
      </c>
      <c r="D153" s="10" t="inlineStr">
        <is>
          <t>Grooming</t>
        </is>
      </c>
      <c r="E153" s="10" t="inlineStr">
        <is>
          <t>Traffic</t>
        </is>
      </c>
      <c r="F153" s="10" t="inlineStr">
        <is>
          <t>D2C</t>
        </is>
      </c>
      <c r="G153" s="8" t="inlineStr">
        <is>
          <t>Home user, gifting, male grooming</t>
        </is>
      </c>
      <c r="H153" s="11" t="n">
        <v>3600</v>
      </c>
      <c r="I153" s="11" t="n">
        <v>6000</v>
      </c>
      <c r="J153" s="11" t="n"/>
      <c r="K153" s="12" t="inlineStr">
        <is>
          <t>NO-NEPAL-LISTING</t>
        </is>
      </c>
      <c r="L153" s="13">
        <f>IF(J153&gt;0,J153,ROUND(P153/(1-M153),-1))</f>
        <v/>
      </c>
      <c r="M153" s="14" t="n">
        <v>0.275</v>
      </c>
      <c r="N153" s="13">
        <f>ROUND(L153*(1-M153),0)</f>
        <v/>
      </c>
      <c r="O153" s="13">
        <f>L153-N153</f>
        <v/>
      </c>
      <c r="P153" s="13">
        <f>IF(H153&gt;0,ROUND(H153*(1-IF(E153="Profit",DIST_FURN,DIST_TOOL))*FX_PEG*LANDED_MULT,0),"")</f>
        <v/>
      </c>
      <c r="Q153" s="8" t="inlineStr">
        <is>
          <t>https://www.ikonicworld.com/products/ikonic-pro-trim-hair-trimmer</t>
        </is>
      </c>
      <c r="R153" s="8" t="inlineStr">
        <is>
          <t>High - daily styling + festival peaks</t>
        </is>
      </c>
      <c r="S153" s="8" t="inlineStr">
        <is>
          <t>High - price-transparent on Daraz</t>
        </is>
      </c>
      <c r="T153" s="15">
        <f>IF(E153="Profit",1,IF(O153&gt;2500,2,3))</f>
        <v/>
      </c>
      <c r="U153" s="8" t="inlineStr">
        <is>
          <t>Before/after in 15s; gifting angle for festivals</t>
        </is>
      </c>
      <c r="V153" s="8" t="inlineStr">
        <is>
          <t>No Daraz Nepal listing found. Price set from landed cost + target margin. You set the anchor here.</t>
        </is>
      </c>
      <c r="W153" s="16">
        <f>IFERROR(ROUND(MIN(10,O153/1500)*IF(E153="Profit",1.4,1),2),"")</f>
        <v/>
      </c>
    </row>
    <row r="154" ht="30" customHeight="1">
      <c r="A154" s="10" t="inlineStr">
        <is>
          <t>ETP-150</t>
        </is>
      </c>
      <c r="B154" s="8" t="inlineStr">
        <is>
          <t>Ikonic Professional Neo Hair Trimmer</t>
        </is>
      </c>
      <c r="C154" s="10" t="inlineStr">
        <is>
          <t>Ikonic</t>
        </is>
      </c>
      <c r="D154" s="10" t="inlineStr">
        <is>
          <t>Grooming</t>
        </is>
      </c>
      <c r="E154" s="10" t="inlineStr">
        <is>
          <t>Traffic</t>
        </is>
      </c>
      <c r="F154" s="10" t="inlineStr">
        <is>
          <t>D2C</t>
        </is>
      </c>
      <c r="G154" s="8" t="inlineStr">
        <is>
          <t>Home user, gifting, male grooming</t>
        </is>
      </c>
      <c r="H154" s="11" t="n">
        <v>2340</v>
      </c>
      <c r="I154" s="11" t="n">
        <v>3900</v>
      </c>
      <c r="J154" s="11" t="n"/>
      <c r="K154" s="12" t="inlineStr">
        <is>
          <t>NO-NEPAL-LISTING</t>
        </is>
      </c>
      <c r="L154" s="13">
        <f>IF(J154&gt;0,J154,ROUND(P154/(1-M154),-1))</f>
        <v/>
      </c>
      <c r="M154" s="14" t="n">
        <v>0.275</v>
      </c>
      <c r="N154" s="13">
        <f>ROUND(L154*(1-M154),0)</f>
        <v/>
      </c>
      <c r="O154" s="13">
        <f>L154-N154</f>
        <v/>
      </c>
      <c r="P154" s="13">
        <f>IF(H154&gt;0,ROUND(H154*(1-IF(E154="Profit",DIST_FURN,DIST_TOOL))*FX_PEG*LANDED_MULT,0),"")</f>
        <v/>
      </c>
      <c r="Q154" s="8" t="inlineStr">
        <is>
          <t>https://www.ikonicworld.com/products/neo-hair-trimmer</t>
        </is>
      </c>
      <c r="R154" s="8" t="inlineStr">
        <is>
          <t>High - daily styling + festival peaks</t>
        </is>
      </c>
      <c r="S154" s="8" t="inlineStr">
        <is>
          <t>High - price-transparent on Daraz</t>
        </is>
      </c>
      <c r="T154" s="15">
        <f>IF(E154="Profit",1,IF(O154&gt;2500,2,3))</f>
        <v/>
      </c>
      <c r="U154" s="8" t="inlineStr">
        <is>
          <t>Before/after in 15s; gifting angle for festivals</t>
        </is>
      </c>
      <c r="V154" s="8" t="inlineStr">
        <is>
          <t>No Daraz Nepal listing found. Price set from landed cost + target margin. You set the anchor here.</t>
        </is>
      </c>
      <c r="W154" s="16">
        <f>IFERROR(ROUND(MIN(10,O154/1500)*IF(E154="Profit",1.4,1),2),"")</f>
        <v/>
      </c>
    </row>
    <row r="155" ht="30" customHeight="1">
      <c r="A155" s="10" t="inlineStr">
        <is>
          <t>ETP-151</t>
        </is>
      </c>
      <c r="B155" s="8" t="inlineStr">
        <is>
          <t>Ikonic Professional Rio Hair Trimmer</t>
        </is>
      </c>
      <c r="C155" s="10" t="inlineStr">
        <is>
          <t>Ikonic</t>
        </is>
      </c>
      <c r="D155" s="10" t="inlineStr">
        <is>
          <t>Grooming</t>
        </is>
      </c>
      <c r="E155" s="10" t="inlineStr">
        <is>
          <t>Traffic</t>
        </is>
      </c>
      <c r="F155" s="10" t="inlineStr">
        <is>
          <t>D2C</t>
        </is>
      </c>
      <c r="G155" s="8" t="inlineStr">
        <is>
          <t>Home user, gifting, male grooming</t>
        </is>
      </c>
      <c r="H155" s="11" t="n">
        <v>1770</v>
      </c>
      <c r="I155" s="11" t="n">
        <v>2950</v>
      </c>
      <c r="J155" s="11" t="n"/>
      <c r="K155" s="12" t="inlineStr">
        <is>
          <t>NO-NEPAL-LISTING</t>
        </is>
      </c>
      <c r="L155" s="13">
        <f>IF(J155&gt;0,J155,ROUND(P155/(1-M155),-1))</f>
        <v/>
      </c>
      <c r="M155" s="14" t="n">
        <v>0.275</v>
      </c>
      <c r="N155" s="13">
        <f>ROUND(L155*(1-M155),0)</f>
        <v/>
      </c>
      <c r="O155" s="13">
        <f>L155-N155</f>
        <v/>
      </c>
      <c r="P155" s="13">
        <f>IF(H155&gt;0,ROUND(H155*(1-IF(E155="Profit",DIST_FURN,DIST_TOOL))*FX_PEG*LANDED_MULT,0),"")</f>
        <v/>
      </c>
      <c r="Q155" s="8" t="inlineStr">
        <is>
          <t>https://www.ikonicworld.com/products/ikonic-rio-trimmer-1</t>
        </is>
      </c>
      <c r="R155" s="8" t="inlineStr">
        <is>
          <t>High - daily styling + festival peaks</t>
        </is>
      </c>
      <c r="S155" s="8" t="inlineStr">
        <is>
          <t>High - price-transparent on Daraz</t>
        </is>
      </c>
      <c r="T155" s="15">
        <f>IF(E155="Profit",1,IF(O155&gt;2500,2,3))</f>
        <v/>
      </c>
      <c r="U155" s="8" t="inlineStr">
        <is>
          <t>Before/after in 15s; gifting angle for festivals</t>
        </is>
      </c>
      <c r="V155" s="8" t="inlineStr">
        <is>
          <t>No Daraz Nepal listing found. Price set from landed cost + target margin. You set the anchor here.</t>
        </is>
      </c>
      <c r="W155" s="16">
        <f>IFERROR(ROUND(MIN(10,O155/1500)*IF(E155="Profit",1.4,1),2),"")</f>
        <v/>
      </c>
    </row>
    <row r="156" ht="30" customHeight="1">
      <c r="A156" s="10" t="inlineStr">
        <is>
          <t>ETP-152</t>
        </is>
      </c>
      <c r="B156" s="8" t="inlineStr">
        <is>
          <t>Ikonic Professional Bullet Hair Shaver</t>
        </is>
      </c>
      <c r="C156" s="10" t="inlineStr">
        <is>
          <t>Ikonic</t>
        </is>
      </c>
      <c r="D156" s="10" t="inlineStr">
        <is>
          <t>Grooming</t>
        </is>
      </c>
      <c r="E156" s="10" t="inlineStr">
        <is>
          <t>Traffic</t>
        </is>
      </c>
      <c r="F156" s="10" t="inlineStr">
        <is>
          <t>D2C</t>
        </is>
      </c>
      <c r="G156" s="8" t="inlineStr">
        <is>
          <t>Home user, gifting, male grooming</t>
        </is>
      </c>
      <c r="H156" s="11" t="n">
        <v>1575</v>
      </c>
      <c r="I156" s="11" t="n">
        <v>2250</v>
      </c>
      <c r="J156" s="11" t="n"/>
      <c r="K156" s="12" t="inlineStr">
        <is>
          <t>NO-NEPAL-LISTING</t>
        </is>
      </c>
      <c r="L156" s="13">
        <f>IF(J156&gt;0,J156,ROUND(P156/(1-M156),-1))</f>
        <v/>
      </c>
      <c r="M156" s="14" t="n">
        <v>0.275</v>
      </c>
      <c r="N156" s="13">
        <f>ROUND(L156*(1-M156),0)</f>
        <v/>
      </c>
      <c r="O156" s="13">
        <f>L156-N156</f>
        <v/>
      </c>
      <c r="P156" s="13">
        <f>IF(H156&gt;0,ROUND(H156*(1-IF(E156="Profit",DIST_FURN,DIST_TOOL))*FX_PEG*LANDED_MULT,0),"")</f>
        <v/>
      </c>
      <c r="Q156" s="8" t="inlineStr">
        <is>
          <t>https://www.ikonicworld.com/products/bullet-shaver</t>
        </is>
      </c>
      <c r="R156" s="8" t="inlineStr">
        <is>
          <t>High - daily styling + festival peaks</t>
        </is>
      </c>
      <c r="S156" s="8" t="inlineStr">
        <is>
          <t>High - price-transparent on Daraz</t>
        </is>
      </c>
      <c r="T156" s="15">
        <f>IF(E156="Profit",1,IF(O156&gt;2500,2,3))</f>
        <v/>
      </c>
      <c r="U156" s="8" t="inlineStr">
        <is>
          <t>Before/after in 15s; gifting angle for festivals</t>
        </is>
      </c>
      <c r="V156" s="8" t="inlineStr">
        <is>
          <t>No Daraz Nepal listing found. Price set from landed cost + target margin. You set the anchor here.</t>
        </is>
      </c>
      <c r="W156" s="16">
        <f>IFERROR(ROUND(MIN(10,O156/1500)*IF(E156="Profit",1.4,1),2),"")</f>
        <v/>
      </c>
    </row>
    <row r="157" ht="30" customHeight="1">
      <c r="A157" s="10" t="inlineStr">
        <is>
          <t>ETP-153</t>
        </is>
      </c>
      <c r="B157" s="8" t="inlineStr">
        <is>
          <t>Ikonic Me 5 in 1 Express Groomer Trimmer</t>
        </is>
      </c>
      <c r="C157" s="10" t="inlineStr">
        <is>
          <t>Ikonic</t>
        </is>
      </c>
      <c r="D157" s="10" t="inlineStr">
        <is>
          <t>Grooming</t>
        </is>
      </c>
      <c r="E157" s="10" t="inlineStr">
        <is>
          <t>Traffic</t>
        </is>
      </c>
      <c r="F157" s="10" t="inlineStr">
        <is>
          <t>D2C</t>
        </is>
      </c>
      <c r="G157" s="8" t="inlineStr">
        <is>
          <t>Home user, gifting, male grooming</t>
        </is>
      </c>
      <c r="H157" s="11" t="n">
        <v>1430</v>
      </c>
      <c r="I157" s="11" t="n">
        <v>2600</v>
      </c>
      <c r="J157" s="11" t="n">
        <v>5250</v>
      </c>
      <c r="K157" s="17" t="inlineStr">
        <is>
          <t>LIKELY-MATCH</t>
        </is>
      </c>
      <c r="L157" s="13">
        <f>IF(J157&gt;0,J157,ROUND(P157/(1-M157),-1))</f>
        <v/>
      </c>
      <c r="M157" s="14" t="n">
        <v>0.275</v>
      </c>
      <c r="N157" s="13">
        <f>ROUND(L157*(1-M157),0)</f>
        <v/>
      </c>
      <c r="O157" s="13">
        <f>L157-N157</f>
        <v/>
      </c>
      <c r="P157" s="13">
        <f>IF(H157&gt;0,ROUND(H157*(1-IF(E157="Profit",DIST_FURN,DIST_TOOL))*FX_PEG*LANDED_MULT,0),"")</f>
        <v/>
      </c>
      <c r="Q157" s="8" t="inlineStr">
        <is>
          <t>https://www.daraz.com.np/products/ikonic-me-3-in-1-express-styler-hair-styler-i503595140.html</t>
        </is>
      </c>
      <c r="R157" s="8" t="inlineStr">
        <is>
          <t>High - daily styling + festival peaks</t>
        </is>
      </c>
      <c r="S157" s="8" t="inlineStr">
        <is>
          <t>High - price-transparent on Daraz</t>
        </is>
      </c>
      <c r="T157" s="15">
        <f>IF(E157="Profit",1,IF(O157&gt;2500,2,3))</f>
        <v/>
      </c>
      <c r="U157" s="8" t="inlineStr">
        <is>
          <t>Before/after in 15s; gifting angle for festivals</t>
        </is>
      </c>
      <c r="V157" s="8" t="inlineStr">
        <is>
          <t>Name-matched to Daraz listing "Ikonic Me 3 in 1 Express Styler Hair Styler". Open the link and confirm same model before pricing.</t>
        </is>
      </c>
      <c r="W157" s="16">
        <f>IFERROR(ROUND(MIN(10,O157/1500)*IF(E157="Profit",1.4,1),2),"")</f>
        <v/>
      </c>
    </row>
    <row r="158" ht="30" customHeight="1">
      <c r="A158" s="10" t="inlineStr">
        <is>
          <t>ETP-154</t>
        </is>
      </c>
      <c r="B158" s="8" t="inlineStr">
        <is>
          <t>Ikonic Me Masterstroke 6-in-1 Personal Groomer with Sense-Cut Duo Blade, Grey</t>
        </is>
      </c>
      <c r="C158" s="10" t="inlineStr">
        <is>
          <t>Ikonic</t>
        </is>
      </c>
      <c r="D158" s="10" t="inlineStr">
        <is>
          <t>Grooming</t>
        </is>
      </c>
      <c r="E158" s="10" t="inlineStr">
        <is>
          <t>Traffic</t>
        </is>
      </c>
      <c r="F158" s="10" t="inlineStr">
        <is>
          <t>D2C</t>
        </is>
      </c>
      <c r="G158" s="8" t="inlineStr">
        <is>
          <t>Home user, gifting, male grooming</t>
        </is>
      </c>
      <c r="H158" s="11" t="n">
        <v>1365</v>
      </c>
      <c r="I158" s="11" t="n">
        <v>2100</v>
      </c>
      <c r="J158" s="11" t="n"/>
      <c r="K158" s="12" t="inlineStr">
        <is>
          <t>NO-NEPAL-LISTING</t>
        </is>
      </c>
      <c r="L158" s="13">
        <f>IF(J158&gt;0,J158,ROUND(P158/(1-M158),-1))</f>
        <v/>
      </c>
      <c r="M158" s="14" t="n">
        <v>0.275</v>
      </c>
      <c r="N158" s="13">
        <f>ROUND(L158*(1-M158),0)</f>
        <v/>
      </c>
      <c r="O158" s="13">
        <f>L158-N158</f>
        <v/>
      </c>
      <c r="P158" s="13">
        <f>IF(H158&gt;0,ROUND(H158*(1-IF(E158="Profit",DIST_FURN,DIST_TOOL))*FX_PEG*LANDED_MULT,0),"")</f>
        <v/>
      </c>
      <c r="Q158" s="8" t="inlineStr">
        <is>
          <t>https://www.ikonicworld.com/products/ikonic-me-masterstroke-personal-groomer</t>
        </is>
      </c>
      <c r="R158" s="8" t="inlineStr">
        <is>
          <t>High - daily styling + festival peaks</t>
        </is>
      </c>
      <c r="S158" s="8" t="inlineStr">
        <is>
          <t>High - price-transparent on Daraz</t>
        </is>
      </c>
      <c r="T158" s="15">
        <f>IF(E158="Profit",1,IF(O158&gt;2500,2,3))</f>
        <v/>
      </c>
      <c r="U158" s="8" t="inlineStr">
        <is>
          <t>Before/after in 15s; gifting angle for festivals</t>
        </is>
      </c>
      <c r="V158" s="8" t="inlineStr">
        <is>
          <t>No Daraz Nepal listing found. Price set from landed cost + target margin. You set the anchor here.</t>
        </is>
      </c>
      <c r="W158" s="16">
        <f>IFERROR(ROUND(MIN(10,O158/1500)*IF(E158="Profit",1.4,1),2),"")</f>
        <v/>
      </c>
    </row>
    <row r="159" ht="30" customHeight="1">
      <c r="A159" s="10" t="inlineStr">
        <is>
          <t>ETP-155</t>
        </is>
      </c>
      <c r="B159" s="8" t="inlineStr">
        <is>
          <t>Ikonic Me Body &amp; Hygiene Trimmer</t>
        </is>
      </c>
      <c r="C159" s="10" t="inlineStr">
        <is>
          <t>Ikonic</t>
        </is>
      </c>
      <c r="D159" s="10" t="inlineStr">
        <is>
          <t>Grooming</t>
        </is>
      </c>
      <c r="E159" s="10" t="inlineStr">
        <is>
          <t>Traffic</t>
        </is>
      </c>
      <c r="F159" s="10" t="inlineStr">
        <is>
          <t>D2C</t>
        </is>
      </c>
      <c r="G159" s="8" t="inlineStr">
        <is>
          <t>Home user, gifting, male grooming</t>
        </is>
      </c>
      <c r="H159" s="11" t="n">
        <v>990</v>
      </c>
      <c r="I159" s="11" t="n">
        <v>2200</v>
      </c>
      <c r="J159" s="11" t="n"/>
      <c r="K159" s="12" t="inlineStr">
        <is>
          <t>NO-NEPAL-LISTING</t>
        </is>
      </c>
      <c r="L159" s="13">
        <f>IF(J159&gt;0,J159,ROUND(P159/(1-M159),-1))</f>
        <v/>
      </c>
      <c r="M159" s="14" t="n">
        <v>0.275</v>
      </c>
      <c r="N159" s="13">
        <f>ROUND(L159*(1-M159),0)</f>
        <v/>
      </c>
      <c r="O159" s="13">
        <f>L159-N159</f>
        <v/>
      </c>
      <c r="P159" s="13">
        <f>IF(H159&gt;0,ROUND(H159*(1-IF(E159="Profit",DIST_FURN,DIST_TOOL))*FX_PEG*LANDED_MULT,0),"")</f>
        <v/>
      </c>
      <c r="Q159" s="8" t="inlineStr">
        <is>
          <t>https://www.ikonicworld.com/products/beard-and-body-trimmer-blue-black</t>
        </is>
      </c>
      <c r="R159" s="8" t="inlineStr">
        <is>
          <t>High - daily styling + festival peaks</t>
        </is>
      </c>
      <c r="S159" s="8" t="inlineStr">
        <is>
          <t>High - price-transparent on Daraz</t>
        </is>
      </c>
      <c r="T159" s="15">
        <f>IF(E159="Profit",1,IF(O159&gt;2500,2,3))</f>
        <v/>
      </c>
      <c r="U159" s="8" t="inlineStr">
        <is>
          <t>Before/after in 15s; gifting angle for festivals</t>
        </is>
      </c>
      <c r="V159" s="8" t="inlineStr">
        <is>
          <t>No Daraz Nepal listing found. Price set from landed cost + target margin. You set the anchor here.</t>
        </is>
      </c>
      <c r="W159" s="16">
        <f>IFERROR(ROUND(MIN(10,O159/1500)*IF(E159="Profit",1.4,1),2),"")</f>
        <v/>
      </c>
    </row>
    <row r="160" ht="30" customHeight="1">
      <c r="A160" s="10" t="inlineStr">
        <is>
          <t>ETP-156</t>
        </is>
      </c>
      <c r="B160" s="8" t="inlineStr">
        <is>
          <t>Ikonic Me Unisex 3-in-1 Personal Groomer Trimmer</t>
        </is>
      </c>
      <c r="C160" s="10" t="inlineStr">
        <is>
          <t>Ikonic</t>
        </is>
      </c>
      <c r="D160" s="10" t="inlineStr">
        <is>
          <t>Grooming</t>
        </is>
      </c>
      <c r="E160" s="10" t="inlineStr">
        <is>
          <t>Traffic</t>
        </is>
      </c>
      <c r="F160" s="10" t="inlineStr">
        <is>
          <t>D2C</t>
        </is>
      </c>
      <c r="G160" s="8" t="inlineStr">
        <is>
          <t>Home user, gifting, male grooming</t>
        </is>
      </c>
      <c r="H160" s="11" t="n">
        <v>975</v>
      </c>
      <c r="I160" s="11" t="n">
        <v>1950</v>
      </c>
      <c r="J160" s="11" t="n"/>
      <c r="K160" s="12" t="inlineStr">
        <is>
          <t>NO-NEPAL-LISTING</t>
        </is>
      </c>
      <c r="L160" s="13">
        <f>IF(J160&gt;0,J160,ROUND(P160/(1-M160),-1))</f>
        <v/>
      </c>
      <c r="M160" s="14" t="n">
        <v>0.275</v>
      </c>
      <c r="N160" s="13">
        <f>ROUND(L160*(1-M160),0)</f>
        <v/>
      </c>
      <c r="O160" s="13">
        <f>L160-N160</f>
        <v/>
      </c>
      <c r="P160" s="13">
        <f>IF(H160&gt;0,ROUND(H160*(1-IF(E160="Profit",DIST_FURN,DIST_TOOL))*FX_PEG*LANDED_MULT,0),"")</f>
        <v/>
      </c>
      <c r="Q160" s="8" t="inlineStr">
        <is>
          <t>https://www.ikonicworld.com/products/ikonic-unisex-3-in-1-personal-groomer</t>
        </is>
      </c>
      <c r="R160" s="8" t="inlineStr">
        <is>
          <t>High - daily styling + festival peaks</t>
        </is>
      </c>
      <c r="S160" s="8" t="inlineStr">
        <is>
          <t>High - price-transparent on Daraz</t>
        </is>
      </c>
      <c r="T160" s="15">
        <f>IF(E160="Profit",1,IF(O160&gt;2500,2,3))</f>
        <v/>
      </c>
      <c r="U160" s="8" t="inlineStr">
        <is>
          <t>Before/after in 15s; gifting angle for festivals</t>
        </is>
      </c>
      <c r="V160" s="8" t="inlineStr">
        <is>
          <t>No Daraz Nepal listing found. Price set from landed cost + target margin. You set the anchor here.</t>
        </is>
      </c>
      <c r="W160" s="16">
        <f>IFERROR(ROUND(MIN(10,O160/1500)*IF(E160="Profit",1.4,1),2),"")</f>
        <v/>
      </c>
    </row>
    <row r="161" ht="30" customHeight="1">
      <c r="A161" s="10" t="inlineStr">
        <is>
          <t>ETP-157</t>
        </is>
      </c>
      <c r="B161" s="8" t="inlineStr">
        <is>
          <t>Ikonic Me Groom &amp; Trim Trimmer</t>
        </is>
      </c>
      <c r="C161" s="10" t="inlineStr">
        <is>
          <t>Ikonic</t>
        </is>
      </c>
      <c r="D161" s="10" t="inlineStr">
        <is>
          <t>Grooming</t>
        </is>
      </c>
      <c r="E161" s="10" t="inlineStr">
        <is>
          <t>Traffic</t>
        </is>
      </c>
      <c r="F161" s="10" t="inlineStr">
        <is>
          <t>D2C</t>
        </is>
      </c>
      <c r="G161" s="8" t="inlineStr">
        <is>
          <t>Home user, gifting, male grooming</t>
        </is>
      </c>
      <c r="H161" s="11" t="n">
        <v>715</v>
      </c>
      <c r="I161" s="11" t="n">
        <v>1300</v>
      </c>
      <c r="J161" s="11" t="n"/>
      <c r="K161" s="12" t="inlineStr">
        <is>
          <t>NO-NEPAL-LISTING</t>
        </is>
      </c>
      <c r="L161" s="13">
        <f>IF(J161&gt;0,J161,ROUND(P161/(1-M161),-1))</f>
        <v/>
      </c>
      <c r="M161" s="14" t="n">
        <v>0.275</v>
      </c>
      <c r="N161" s="13">
        <f>ROUND(L161*(1-M161),0)</f>
        <v/>
      </c>
      <c r="O161" s="13">
        <f>L161-N161</f>
        <v/>
      </c>
      <c r="P161" s="13">
        <f>IF(H161&gt;0,ROUND(H161*(1-IF(E161="Profit",DIST_FURN,DIST_TOOL))*FX_PEG*LANDED_MULT,0),"")</f>
        <v/>
      </c>
      <c r="Q161" s="8" t="inlineStr">
        <is>
          <t>https://www.ikonicworld.com/products/groom-and-trim-trimmer-blue-black</t>
        </is>
      </c>
      <c r="R161" s="8" t="inlineStr">
        <is>
          <t>High - daily styling + festival peaks</t>
        </is>
      </c>
      <c r="S161" s="8" t="inlineStr">
        <is>
          <t>High - price-transparent on Daraz</t>
        </is>
      </c>
      <c r="T161" s="15">
        <f>IF(E161="Profit",1,IF(O161&gt;2500,2,3))</f>
        <v/>
      </c>
      <c r="U161" s="8" t="inlineStr">
        <is>
          <t>Before/after in 15s; gifting angle for festivals</t>
        </is>
      </c>
      <c r="V161" s="8" t="inlineStr">
        <is>
          <t>No Daraz Nepal listing found. Price set from landed cost + target margin. You set the anchor here.</t>
        </is>
      </c>
      <c r="W161" s="16">
        <f>IFERROR(ROUND(MIN(10,O161/1500)*IF(E161="Profit",1.4,1),2),"")</f>
        <v/>
      </c>
    </row>
    <row r="162" ht="30" customHeight="1">
      <c r="A162" s="10" t="inlineStr">
        <is>
          <t>ETP-158</t>
        </is>
      </c>
      <c r="B162" s="8" t="inlineStr">
        <is>
          <t>Ikonic Professional Artistic Iktc-05 Hair Cutting Scissor (6 Inch)</t>
        </is>
      </c>
      <c r="C162" s="10" t="inlineStr">
        <is>
          <t>Ikonic</t>
        </is>
      </c>
      <c r="D162" s="10" t="inlineStr">
        <is>
          <t>Salon Tools</t>
        </is>
      </c>
      <c r="E162" s="10" t="inlineStr">
        <is>
          <t>Attach</t>
        </is>
      </c>
      <c r="F162" s="10" t="inlineStr">
        <is>
          <t>BOTH</t>
        </is>
      </c>
      <c r="G162" s="8" t="inlineStr">
        <is>
          <t>Working stylist buying their own kit</t>
        </is>
      </c>
      <c r="H162" s="11" t="n">
        <v>5785</v>
      </c>
      <c r="I162" s="11" t="n">
        <v>8900</v>
      </c>
      <c r="J162" s="11" t="n"/>
      <c r="K162" s="12" t="inlineStr">
        <is>
          <t>NO-NEPAL-LISTING</t>
        </is>
      </c>
      <c r="L162" s="13">
        <f>IF(J162&gt;0,J162,ROUND(P162/(1-M162),-1))</f>
        <v/>
      </c>
      <c r="M162" s="14" t="n">
        <v>0.35</v>
      </c>
      <c r="N162" s="13">
        <f>ROUND(L162*(1-M162),0)</f>
        <v/>
      </c>
      <c r="O162" s="13">
        <f>L162-N162</f>
        <v/>
      </c>
      <c r="P162" s="13">
        <f>IF(H162&gt;0,ROUND(H162*(1-IF(E162="Profit",DIST_FURN,DIST_TOOL))*FX_PEG*LANDED_MULT,0),"")</f>
        <v/>
      </c>
      <c r="Q162" s="8" t="inlineStr">
        <is>
          <t>https://www.ikonicworld.com/products/ikonic-artistic-hair-cutting-scissor-iktc-05</t>
        </is>
      </c>
      <c r="R162" s="8" t="inlineStr">
        <is>
          <t>Low volume, high attach rate</t>
        </is>
      </c>
      <c r="S162" s="8" t="inlineStr">
        <is>
          <t>Low - rarely searched directly</t>
        </is>
      </c>
      <c r="T162" s="15">
        <f>IF(E162="Profit",1,IF(O162&gt;2500,2,3))</f>
        <v/>
      </c>
      <c r="U162" s="8" t="inlineStr">
        <is>
          <t>Close-up craft shot; stylist testimonial</t>
        </is>
      </c>
      <c r="V162" s="8" t="inlineStr">
        <is>
          <t>No Daraz Nepal listing found. Price set from landed cost + target margin. You set the anchor here.</t>
        </is>
      </c>
      <c r="W162" s="16">
        <f>IFERROR(ROUND(MIN(10,O162/1500)*IF(E162="Profit",1.4,1),2),"")</f>
        <v/>
      </c>
    </row>
    <row r="163" ht="30" customHeight="1">
      <c r="A163" s="10" t="inlineStr">
        <is>
          <t>ETP-159</t>
        </is>
      </c>
      <c r="B163" s="8" t="inlineStr">
        <is>
          <t>Ikonic Professional Artistic Iktc-15 Hair Cutting Scissor (5.5 Inch)</t>
        </is>
      </c>
      <c r="C163" s="10" t="inlineStr">
        <is>
          <t>Ikonic</t>
        </is>
      </c>
      <c r="D163" s="10" t="inlineStr">
        <is>
          <t>Salon Tools</t>
        </is>
      </c>
      <c r="E163" s="10" t="inlineStr">
        <is>
          <t>Attach</t>
        </is>
      </c>
      <c r="F163" s="10" t="inlineStr">
        <is>
          <t>BOTH</t>
        </is>
      </c>
      <c r="G163" s="8" t="inlineStr">
        <is>
          <t>Working stylist buying their own kit</t>
        </is>
      </c>
      <c r="H163" s="11" t="n">
        <v>5785</v>
      </c>
      <c r="I163" s="11" t="n">
        <v>8900</v>
      </c>
      <c r="J163" s="11" t="n"/>
      <c r="K163" s="12" t="inlineStr">
        <is>
          <t>NO-NEPAL-LISTING</t>
        </is>
      </c>
      <c r="L163" s="13">
        <f>IF(J163&gt;0,J163,ROUND(P163/(1-M163),-1))</f>
        <v/>
      </c>
      <c r="M163" s="14" t="n">
        <v>0.35</v>
      </c>
      <c r="N163" s="13">
        <f>ROUND(L163*(1-M163),0)</f>
        <v/>
      </c>
      <c r="O163" s="13">
        <f>L163-N163</f>
        <v/>
      </c>
      <c r="P163" s="13">
        <f>IF(H163&gt;0,ROUND(H163*(1-IF(E163="Profit",DIST_FURN,DIST_TOOL))*FX_PEG*LANDED_MULT,0),"")</f>
        <v/>
      </c>
      <c r="Q163" s="8" t="inlineStr">
        <is>
          <t>https://www.ikonicworld.com/products/ikonic-artistic-hair-cutting-scissor-iktc-15</t>
        </is>
      </c>
      <c r="R163" s="8" t="inlineStr">
        <is>
          <t>Low volume, high attach rate</t>
        </is>
      </c>
      <c r="S163" s="8" t="inlineStr">
        <is>
          <t>Low - rarely searched directly</t>
        </is>
      </c>
      <c r="T163" s="15">
        <f>IF(E163="Profit",1,IF(O163&gt;2500,2,3))</f>
        <v/>
      </c>
      <c r="U163" s="8" t="inlineStr">
        <is>
          <t>Close-up craft shot; stylist testimonial</t>
        </is>
      </c>
      <c r="V163" s="8" t="inlineStr">
        <is>
          <t>No Daraz Nepal listing found. Price set from landed cost + target margin. You set the anchor here.</t>
        </is>
      </c>
      <c r="W163" s="16">
        <f>IFERROR(ROUND(MIN(10,O163/1500)*IF(E163="Profit",1.4,1),2),"")</f>
        <v/>
      </c>
    </row>
    <row r="164" ht="30" customHeight="1">
      <c r="A164" s="10" t="inlineStr">
        <is>
          <t>ETP-160</t>
        </is>
      </c>
      <c r="B164" s="8" t="inlineStr">
        <is>
          <t>Ikonic Professional Black Titanium - 6 Inch Hair Cutting Scissor</t>
        </is>
      </c>
      <c r="C164" s="10" t="inlineStr">
        <is>
          <t>Ikonic</t>
        </is>
      </c>
      <c r="D164" s="10" t="inlineStr">
        <is>
          <t>Salon Tools</t>
        </is>
      </c>
      <c r="E164" s="10" t="inlineStr">
        <is>
          <t>Attach</t>
        </is>
      </c>
      <c r="F164" s="10" t="inlineStr">
        <is>
          <t>BOTH</t>
        </is>
      </c>
      <c r="G164" s="8" t="inlineStr">
        <is>
          <t>Working stylist buying their own kit</t>
        </is>
      </c>
      <c r="H164" s="11" t="n">
        <v>5550</v>
      </c>
      <c r="I164" s="11" t="n">
        <v>9250</v>
      </c>
      <c r="J164" s="11" t="n"/>
      <c r="K164" s="12" t="inlineStr">
        <is>
          <t>NO-NEPAL-LISTING</t>
        </is>
      </c>
      <c r="L164" s="13">
        <f>IF(J164&gt;0,J164,ROUND(P164/(1-M164),-1))</f>
        <v/>
      </c>
      <c r="M164" s="14" t="n">
        <v>0.35</v>
      </c>
      <c r="N164" s="13">
        <f>ROUND(L164*(1-M164),0)</f>
        <v/>
      </c>
      <c r="O164" s="13">
        <f>L164-N164</f>
        <v/>
      </c>
      <c r="P164" s="13">
        <f>IF(H164&gt;0,ROUND(H164*(1-IF(E164="Profit",DIST_FURN,DIST_TOOL))*FX_PEG*LANDED_MULT,0),"")</f>
        <v/>
      </c>
      <c r="Q164" s="8" t="inlineStr">
        <is>
          <t>https://www.ikonicworld.com/products/ikonic-barber-titanium-scissors-t-6-0-ink-t</t>
        </is>
      </c>
      <c r="R164" s="8" t="inlineStr">
        <is>
          <t>Low volume, high attach rate</t>
        </is>
      </c>
      <c r="S164" s="8" t="inlineStr">
        <is>
          <t>Low - rarely searched directly</t>
        </is>
      </c>
      <c r="T164" s="15">
        <f>IF(E164="Profit",1,IF(O164&gt;2500,2,3))</f>
        <v/>
      </c>
      <c r="U164" s="8" t="inlineStr">
        <is>
          <t>Close-up craft shot; stylist testimonial</t>
        </is>
      </c>
      <c r="V164" s="8" t="inlineStr">
        <is>
          <t>No Daraz Nepal listing found. Price set from landed cost + target margin. You set the anchor here.</t>
        </is>
      </c>
      <c r="W164" s="16">
        <f>IFERROR(ROUND(MIN(10,O164/1500)*IF(E164="Profit",1.4,1),2),"")</f>
        <v/>
      </c>
    </row>
    <row r="165" ht="30" customHeight="1">
      <c r="A165" s="10" t="inlineStr">
        <is>
          <t>ETP-161</t>
        </is>
      </c>
      <c r="B165" s="8" t="inlineStr">
        <is>
          <t>Ikonic Professional Titanium T-5.5 Ink-T Hair Cutting Scissor</t>
        </is>
      </c>
      <c r="C165" s="10" t="inlineStr">
        <is>
          <t>Ikonic</t>
        </is>
      </c>
      <c r="D165" s="10" t="inlineStr">
        <is>
          <t>Salon Tools</t>
        </is>
      </c>
      <c r="E165" s="10" t="inlineStr">
        <is>
          <t>Attach</t>
        </is>
      </c>
      <c r="F165" s="10" t="inlineStr">
        <is>
          <t>BOTH</t>
        </is>
      </c>
      <c r="G165" s="8" t="inlineStr">
        <is>
          <t>Working stylist buying their own kit</t>
        </is>
      </c>
      <c r="H165" s="11" t="n">
        <v>5550</v>
      </c>
      <c r="I165" s="11" t="n">
        <v>9250</v>
      </c>
      <c r="J165" s="11" t="n"/>
      <c r="K165" s="12" t="inlineStr">
        <is>
          <t>NO-NEPAL-LISTING</t>
        </is>
      </c>
      <c r="L165" s="13">
        <f>IF(J165&gt;0,J165,ROUND(P165/(1-M165),-1))</f>
        <v/>
      </c>
      <c r="M165" s="14" t="n">
        <v>0.35</v>
      </c>
      <c r="N165" s="13">
        <f>ROUND(L165*(1-M165),0)</f>
        <v/>
      </c>
      <c r="O165" s="13">
        <f>L165-N165</f>
        <v/>
      </c>
      <c r="P165" s="13">
        <f>IF(H165&gt;0,ROUND(H165*(1-IF(E165="Profit",DIST_FURN,DIST_TOOL))*FX_PEG*LANDED_MULT,0),"")</f>
        <v/>
      </c>
      <c r="Q165" s="8" t="inlineStr">
        <is>
          <t>https://www.ikonicworld.com/products/ikonic-professional-titanium-scissors-t5-5-ink-t</t>
        </is>
      </c>
      <c r="R165" s="8" t="inlineStr">
        <is>
          <t>Low volume, high attach rate</t>
        </is>
      </c>
      <c r="S165" s="8" t="inlineStr">
        <is>
          <t>Low - rarely searched directly</t>
        </is>
      </c>
      <c r="T165" s="15">
        <f>IF(E165="Profit",1,IF(O165&gt;2500,2,3))</f>
        <v/>
      </c>
      <c r="U165" s="8" t="inlineStr">
        <is>
          <t>Close-up craft shot; stylist testimonial</t>
        </is>
      </c>
      <c r="V165" s="8" t="inlineStr">
        <is>
          <t>No Daraz Nepal listing found. Price set from landed cost + target margin. You set the anchor here.</t>
        </is>
      </c>
      <c r="W165" s="16">
        <f>IFERROR(ROUND(MIN(10,O165/1500)*IF(E165="Profit",1.4,1),2),"")</f>
        <v/>
      </c>
    </row>
    <row r="166" ht="30" customHeight="1">
      <c r="A166" s="10" t="inlineStr">
        <is>
          <t>ETP-162</t>
        </is>
      </c>
      <c r="B166" s="8" t="inlineStr">
        <is>
          <t>Ikonic Professional Artistic Iktc-03 Hair Cutting Scissor (5.5 Inch)</t>
        </is>
      </c>
      <c r="C166" s="10" t="inlineStr">
        <is>
          <t>Ikonic</t>
        </is>
      </c>
      <c r="D166" s="10" t="inlineStr">
        <is>
          <t>Salon Tools</t>
        </is>
      </c>
      <c r="E166" s="10" t="inlineStr">
        <is>
          <t>Attach</t>
        </is>
      </c>
      <c r="F166" s="10" t="inlineStr">
        <is>
          <t>BOTH</t>
        </is>
      </c>
      <c r="G166" s="8" t="inlineStr">
        <is>
          <t>Working stylist buying their own kit</t>
        </is>
      </c>
      <c r="H166" s="11" t="n">
        <v>5525</v>
      </c>
      <c r="I166" s="11" t="n">
        <v>8500</v>
      </c>
      <c r="J166" s="11" t="n"/>
      <c r="K166" s="12" t="inlineStr">
        <is>
          <t>NO-NEPAL-LISTING</t>
        </is>
      </c>
      <c r="L166" s="13">
        <f>IF(J166&gt;0,J166,ROUND(P166/(1-M166),-1))</f>
        <v/>
      </c>
      <c r="M166" s="14" t="n">
        <v>0.35</v>
      </c>
      <c r="N166" s="13">
        <f>ROUND(L166*(1-M166),0)</f>
        <v/>
      </c>
      <c r="O166" s="13">
        <f>L166-N166</f>
        <v/>
      </c>
      <c r="P166" s="13">
        <f>IF(H166&gt;0,ROUND(H166*(1-IF(E166="Profit",DIST_FURN,DIST_TOOL))*FX_PEG*LANDED_MULT,0),"")</f>
        <v/>
      </c>
      <c r="Q166" s="8" t="inlineStr">
        <is>
          <t>https://www.ikonicworld.com/products/ikonic-artistic-hair-cutting-scissor-iktc-03</t>
        </is>
      </c>
      <c r="R166" s="8" t="inlineStr">
        <is>
          <t>Low volume, high attach rate</t>
        </is>
      </c>
      <c r="S166" s="8" t="inlineStr">
        <is>
          <t>Low - rarely searched directly</t>
        </is>
      </c>
      <c r="T166" s="15">
        <f>IF(E166="Profit",1,IF(O166&gt;2500,2,3))</f>
        <v/>
      </c>
      <c r="U166" s="8" t="inlineStr">
        <is>
          <t>Close-up craft shot; stylist testimonial</t>
        </is>
      </c>
      <c r="V166" s="8" t="inlineStr">
        <is>
          <t>No Daraz Nepal listing found. Price set from landed cost + target margin. You set the anchor here.</t>
        </is>
      </c>
      <c r="W166" s="16">
        <f>IFERROR(ROUND(MIN(10,O166/1500)*IF(E166="Profit",1.4,1),2),"")</f>
        <v/>
      </c>
    </row>
    <row r="167" ht="30" customHeight="1">
      <c r="A167" s="10" t="inlineStr">
        <is>
          <t>ETP-163</t>
        </is>
      </c>
      <c r="B167" s="8" t="inlineStr">
        <is>
          <t>Ikonic Professional E Series - 7 Inch Hair Barber Scissor</t>
        </is>
      </c>
      <c r="C167" s="10" t="inlineStr">
        <is>
          <t>Ikonic</t>
        </is>
      </c>
      <c r="D167" s="10" t="inlineStr">
        <is>
          <t>Salon Tools</t>
        </is>
      </c>
      <c r="E167" s="10" t="inlineStr">
        <is>
          <t>Attach</t>
        </is>
      </c>
      <c r="F167" s="10" t="inlineStr">
        <is>
          <t>BOTH</t>
        </is>
      </c>
      <c r="G167" s="8" t="inlineStr">
        <is>
          <t>Working stylist buying their own kit</t>
        </is>
      </c>
      <c r="H167" s="11" t="n">
        <v>4843</v>
      </c>
      <c r="I167" s="11" t="n">
        <v>7450</v>
      </c>
      <c r="J167" s="11" t="n"/>
      <c r="K167" s="12" t="inlineStr">
        <is>
          <t>NO-NEPAL-LISTING</t>
        </is>
      </c>
      <c r="L167" s="13">
        <f>IF(J167&gt;0,J167,ROUND(P167/(1-M167),-1))</f>
        <v/>
      </c>
      <c r="M167" s="14" t="n">
        <v>0.35</v>
      </c>
      <c r="N167" s="13">
        <f>ROUND(L167*(1-M167),0)</f>
        <v/>
      </c>
      <c r="O167" s="13">
        <f>L167-N167</f>
        <v/>
      </c>
      <c r="P167" s="13">
        <f>IF(H167&gt;0,ROUND(H167*(1-IF(E167="Profit",DIST_FURN,DIST_TOOL))*FX_PEG*LANDED_MULT,0),"")</f>
        <v/>
      </c>
      <c r="Q167" s="8" t="inlineStr">
        <is>
          <t>https://www.ikonicworld.com/products/ikonic-barber-scissor-ik-e70</t>
        </is>
      </c>
      <c r="R167" s="8" t="inlineStr">
        <is>
          <t>Low volume, high attach rate</t>
        </is>
      </c>
      <c r="S167" s="8" t="inlineStr">
        <is>
          <t>Low - rarely searched directly</t>
        </is>
      </c>
      <c r="T167" s="15">
        <f>IF(E167="Profit",1,IF(O167&gt;2500,2,3))</f>
        <v/>
      </c>
      <c r="U167" s="8" t="inlineStr">
        <is>
          <t>Close-up craft shot; stylist testimonial</t>
        </is>
      </c>
      <c r="V167" s="8" t="inlineStr">
        <is>
          <t>No Daraz Nepal listing found. Price set from landed cost + target margin. You set the anchor here.</t>
        </is>
      </c>
      <c r="W167" s="16">
        <f>IFERROR(ROUND(MIN(10,O167/1500)*IF(E167="Profit",1.4,1),2),"")</f>
        <v/>
      </c>
    </row>
    <row r="168" ht="30" customHeight="1">
      <c r="A168" s="10" t="inlineStr">
        <is>
          <t>ETP-164</t>
        </is>
      </c>
      <c r="B168" s="8" t="inlineStr">
        <is>
          <t>Ikonic Professional M Series - 5.5 Inch Hair Cutting Scissor</t>
        </is>
      </c>
      <c r="C168" s="10" t="inlineStr">
        <is>
          <t>Ikonic</t>
        </is>
      </c>
      <c r="D168" s="10" t="inlineStr">
        <is>
          <t>Salon Tools</t>
        </is>
      </c>
      <c r="E168" s="10" t="inlineStr">
        <is>
          <t>Attach</t>
        </is>
      </c>
      <c r="F168" s="10" t="inlineStr">
        <is>
          <t>BOTH</t>
        </is>
      </c>
      <c r="G168" s="8" t="inlineStr">
        <is>
          <t>Working stylist buying their own kit</t>
        </is>
      </c>
      <c r="H168" s="11" t="n">
        <v>4470</v>
      </c>
      <c r="I168" s="11" t="n">
        <v>7450</v>
      </c>
      <c r="J168" s="11" t="n"/>
      <c r="K168" s="12" t="inlineStr">
        <is>
          <t>NO-NEPAL-LISTING</t>
        </is>
      </c>
      <c r="L168" s="13">
        <f>IF(J168&gt;0,J168,ROUND(P168/(1-M168),-1))</f>
        <v/>
      </c>
      <c r="M168" s="14" t="n">
        <v>0.35</v>
      </c>
      <c r="N168" s="13">
        <f>ROUND(L168*(1-M168),0)</f>
        <v/>
      </c>
      <c r="O168" s="13">
        <f>L168-N168</f>
        <v/>
      </c>
      <c r="P168" s="13">
        <f>IF(H168&gt;0,ROUND(H168*(1-IF(E168="Profit",DIST_FURN,DIST_TOOL))*FX_PEG*LANDED_MULT,0),"")</f>
        <v/>
      </c>
      <c r="Q168" s="8" t="inlineStr">
        <is>
          <t>https://www.ikonicworld.com/products/ikonic-hairdressing-scissor-ik-m55</t>
        </is>
      </c>
      <c r="R168" s="8" t="inlineStr">
        <is>
          <t>Low volume, high attach rate</t>
        </is>
      </c>
      <c r="S168" s="8" t="inlineStr">
        <is>
          <t>Low - rarely searched directly</t>
        </is>
      </c>
      <c r="T168" s="15">
        <f>IF(E168="Profit",1,IF(O168&gt;2500,2,3))</f>
        <v/>
      </c>
      <c r="U168" s="8" t="inlineStr">
        <is>
          <t>Close-up craft shot; stylist testimonial</t>
        </is>
      </c>
      <c r="V168" s="8" t="inlineStr">
        <is>
          <t>No Daraz Nepal listing found. Price set from landed cost + target margin. You set the anchor here.</t>
        </is>
      </c>
      <c r="W168" s="16">
        <f>IFERROR(ROUND(MIN(10,O168/1500)*IF(E168="Profit",1.4,1),2),"")</f>
        <v/>
      </c>
    </row>
    <row r="169" ht="30" customHeight="1">
      <c r="A169" s="10" t="inlineStr">
        <is>
          <t>ETP-165</t>
        </is>
      </c>
      <c r="B169" s="8" t="inlineStr">
        <is>
          <t>Ikonic Professional G Series - 5.5 Inch Hair Cutting Scissor</t>
        </is>
      </c>
      <c r="C169" s="10" t="inlineStr">
        <is>
          <t>Ikonic</t>
        </is>
      </c>
      <c r="D169" s="10" t="inlineStr">
        <is>
          <t>Salon Tools</t>
        </is>
      </c>
      <c r="E169" s="10" t="inlineStr">
        <is>
          <t>Attach</t>
        </is>
      </c>
      <c r="F169" s="10" t="inlineStr">
        <is>
          <t>BOTH</t>
        </is>
      </c>
      <c r="G169" s="8" t="inlineStr">
        <is>
          <t>Working stylist buying their own kit</t>
        </is>
      </c>
      <c r="H169" s="11" t="n">
        <v>4290</v>
      </c>
      <c r="I169" s="11" t="n">
        <v>6600</v>
      </c>
      <c r="J169" s="11" t="n"/>
      <c r="K169" s="12" t="inlineStr">
        <is>
          <t>NO-NEPAL-LISTING</t>
        </is>
      </c>
      <c r="L169" s="13">
        <f>IF(J169&gt;0,J169,ROUND(P169/(1-M169),-1))</f>
        <v/>
      </c>
      <c r="M169" s="14" t="n">
        <v>0.35</v>
      </c>
      <c r="N169" s="13">
        <f>ROUND(L169*(1-M169),0)</f>
        <v/>
      </c>
      <c r="O169" s="13">
        <f>L169-N169</f>
        <v/>
      </c>
      <c r="P169" s="13">
        <f>IF(H169&gt;0,ROUND(H169*(1-IF(E169="Profit",DIST_FURN,DIST_TOOL))*FX_PEG*LANDED_MULT,0),"")</f>
        <v/>
      </c>
      <c r="Q169" s="8" t="inlineStr">
        <is>
          <t>https://www.ikonicworld.com/products/ikonic-barber-scissor-ik-g55</t>
        </is>
      </c>
      <c r="R169" s="8" t="inlineStr">
        <is>
          <t>Low volume, high attach rate</t>
        </is>
      </c>
      <c r="S169" s="8" t="inlineStr">
        <is>
          <t>Low - rarely searched directly</t>
        </is>
      </c>
      <c r="T169" s="15">
        <f>IF(E169="Profit",1,IF(O169&gt;2500,2,3))</f>
        <v/>
      </c>
      <c r="U169" s="8" t="inlineStr">
        <is>
          <t>Close-up craft shot; stylist testimonial</t>
        </is>
      </c>
      <c r="V169" s="8" t="inlineStr">
        <is>
          <t>No Daraz Nepal listing found. Price set from landed cost + target margin. You set the anchor here.</t>
        </is>
      </c>
      <c r="W169" s="16">
        <f>IFERROR(ROUND(MIN(10,O169/1500)*IF(E169="Profit",1.4,1),2),"")</f>
        <v/>
      </c>
    </row>
    <row r="170" ht="30" customHeight="1">
      <c r="A170" s="10" t="inlineStr">
        <is>
          <t>ETP-166</t>
        </is>
      </c>
      <c r="B170" s="8" t="inlineStr">
        <is>
          <t>Ikonic Professional Pro Line Iktk-170 Hair Cutting Scissor (5.5 Inch)</t>
        </is>
      </c>
      <c r="C170" s="10" t="inlineStr">
        <is>
          <t>Ikonic</t>
        </is>
      </c>
      <c r="D170" s="10" t="inlineStr">
        <is>
          <t>Salon Tools</t>
        </is>
      </c>
      <c r="E170" s="10" t="inlineStr">
        <is>
          <t>Attach</t>
        </is>
      </c>
      <c r="F170" s="10" t="inlineStr">
        <is>
          <t>BOTH</t>
        </is>
      </c>
      <c r="G170" s="8" t="inlineStr">
        <is>
          <t>Working stylist buying their own kit</t>
        </is>
      </c>
      <c r="H170" s="11" t="n">
        <v>3150</v>
      </c>
      <c r="I170" s="11" t="n">
        <v>4500</v>
      </c>
      <c r="J170" s="11" t="n"/>
      <c r="K170" s="12" t="inlineStr">
        <is>
          <t>NO-NEPAL-LISTING</t>
        </is>
      </c>
      <c r="L170" s="13">
        <f>IF(J170&gt;0,J170,ROUND(P170/(1-M170),-1))</f>
        <v/>
      </c>
      <c r="M170" s="14" t="n">
        <v>0.35</v>
      </c>
      <c r="N170" s="13">
        <f>ROUND(L170*(1-M170),0)</f>
        <v/>
      </c>
      <c r="O170" s="13">
        <f>L170-N170</f>
        <v/>
      </c>
      <c r="P170" s="13">
        <f>IF(H170&gt;0,ROUND(H170*(1-IF(E170="Profit",DIST_FURN,DIST_TOOL))*FX_PEG*LANDED_MULT,0),"")</f>
        <v/>
      </c>
      <c r="Q170" s="8" t="inlineStr">
        <is>
          <t>https://www.ikonicworld.com/products/ikonic-pro-line-hair-cutting-scissor-iktk-170</t>
        </is>
      </c>
      <c r="R170" s="8" t="inlineStr">
        <is>
          <t>Low volume, high attach rate</t>
        </is>
      </c>
      <c r="S170" s="8" t="inlineStr">
        <is>
          <t>Low - rarely searched directly</t>
        </is>
      </c>
      <c r="T170" s="15">
        <f>IF(E170="Profit",1,IF(O170&gt;2500,2,3))</f>
        <v/>
      </c>
      <c r="U170" s="8" t="inlineStr">
        <is>
          <t>Close-up craft shot; stylist testimonial</t>
        </is>
      </c>
      <c r="V170" s="8" t="inlineStr">
        <is>
          <t>No Daraz Nepal listing found. Price set from landed cost + target margin. You set the anchor here.</t>
        </is>
      </c>
      <c r="W170" s="16">
        <f>IFERROR(ROUND(MIN(10,O170/1500)*IF(E170="Profit",1.4,1),2),"")</f>
        <v/>
      </c>
    </row>
    <row r="171" ht="30" customHeight="1">
      <c r="A171" s="10" t="inlineStr">
        <is>
          <t>ETP-167</t>
        </is>
      </c>
      <c r="B171" s="8" t="inlineStr">
        <is>
          <t>Ikonic Scissor F-1 Series - 7 inch</t>
        </is>
      </c>
      <c r="C171" s="10" t="inlineStr">
        <is>
          <t>Ikonic</t>
        </is>
      </c>
      <c r="D171" s="10" t="inlineStr">
        <is>
          <t>Salon Tools</t>
        </is>
      </c>
      <c r="E171" s="10" t="inlineStr">
        <is>
          <t>Attach</t>
        </is>
      </c>
      <c r="F171" s="10" t="inlineStr">
        <is>
          <t>BOTH</t>
        </is>
      </c>
      <c r="G171" s="8" t="inlineStr">
        <is>
          <t>Working stylist buying their own kit</t>
        </is>
      </c>
      <c r="H171" s="11" t="n">
        <v>2828</v>
      </c>
      <c r="I171" s="11" t="n">
        <v>4350</v>
      </c>
      <c r="J171" s="11" t="n"/>
      <c r="K171" s="12" t="inlineStr">
        <is>
          <t>NO-NEPAL-LISTING</t>
        </is>
      </c>
      <c r="L171" s="13">
        <f>IF(J171&gt;0,J171,ROUND(P171/(1-M171),-1))</f>
        <v/>
      </c>
      <c r="M171" s="14" t="n">
        <v>0.35</v>
      </c>
      <c r="N171" s="13">
        <f>ROUND(L171*(1-M171),0)</f>
        <v/>
      </c>
      <c r="O171" s="13">
        <f>L171-N171</f>
        <v/>
      </c>
      <c r="P171" s="13">
        <f>IF(H171&gt;0,ROUND(H171*(1-IF(E171="Profit",DIST_FURN,DIST_TOOL))*FX_PEG*LANDED_MULT,0),"")</f>
        <v/>
      </c>
      <c r="Q171" s="8" t="inlineStr">
        <is>
          <t>https://www.ikonicworld.com/products/ikonic-barber-scissor-ik-f1-70</t>
        </is>
      </c>
      <c r="R171" s="8" t="inlineStr">
        <is>
          <t>Low volume, high attach rate</t>
        </is>
      </c>
      <c r="S171" s="8" t="inlineStr">
        <is>
          <t>Low - rarely searched directly</t>
        </is>
      </c>
      <c r="T171" s="15">
        <f>IF(E171="Profit",1,IF(O171&gt;2500,2,3))</f>
        <v/>
      </c>
      <c r="U171" s="8" t="inlineStr">
        <is>
          <t>Close-up craft shot; stylist testimonial</t>
        </is>
      </c>
      <c r="V171" s="8" t="inlineStr">
        <is>
          <t>No Daraz Nepal listing found. Price set from landed cost + target margin. You set the anchor here.</t>
        </is>
      </c>
      <c r="W171" s="16">
        <f>IFERROR(ROUND(MIN(10,O171/1500)*IF(E171="Profit",1.4,1),2),"")</f>
        <v/>
      </c>
    </row>
    <row r="172" ht="30" customHeight="1">
      <c r="A172" s="10" t="inlineStr">
        <is>
          <t>ETP-168</t>
        </is>
      </c>
      <c r="B172" s="8" t="inlineStr">
        <is>
          <t>Ikonic Professional Pro Line Iktk-113 Hair Cutting Scissor (6 Inch)</t>
        </is>
      </c>
      <c r="C172" s="10" t="inlineStr">
        <is>
          <t>Ikonic</t>
        </is>
      </c>
      <c r="D172" s="10" t="inlineStr">
        <is>
          <t>Salon Tools</t>
        </is>
      </c>
      <c r="E172" s="10" t="inlineStr">
        <is>
          <t>Attach</t>
        </is>
      </c>
      <c r="F172" s="10" t="inlineStr">
        <is>
          <t>BOTH</t>
        </is>
      </c>
      <c r="G172" s="8" t="inlineStr">
        <is>
          <t>Working stylist buying their own kit</t>
        </is>
      </c>
      <c r="H172" s="11" t="n">
        <v>2633</v>
      </c>
      <c r="I172" s="11" t="n">
        <v>4050</v>
      </c>
      <c r="J172" s="11" t="n"/>
      <c r="K172" s="12" t="inlineStr">
        <is>
          <t>NO-NEPAL-LISTING</t>
        </is>
      </c>
      <c r="L172" s="13">
        <f>IF(J172&gt;0,J172,ROUND(P172/(1-M172),-1))</f>
        <v/>
      </c>
      <c r="M172" s="14" t="n">
        <v>0.35</v>
      </c>
      <c r="N172" s="13">
        <f>ROUND(L172*(1-M172),0)</f>
        <v/>
      </c>
      <c r="O172" s="13">
        <f>L172-N172</f>
        <v/>
      </c>
      <c r="P172" s="13">
        <f>IF(H172&gt;0,ROUND(H172*(1-IF(E172="Profit",DIST_FURN,DIST_TOOL))*FX_PEG*LANDED_MULT,0),"")</f>
        <v/>
      </c>
      <c r="Q172" s="8" t="inlineStr">
        <is>
          <t>https://www.ikonicworld.com/products/ikonic-pro-line-hair-cutting-scissor-iktk-113</t>
        </is>
      </c>
      <c r="R172" s="8" t="inlineStr">
        <is>
          <t>Low volume, high attach rate</t>
        </is>
      </c>
      <c r="S172" s="8" t="inlineStr">
        <is>
          <t>Low - rarely searched directly</t>
        </is>
      </c>
      <c r="T172" s="15">
        <f>IF(E172="Profit",1,IF(O172&gt;2500,2,3))</f>
        <v/>
      </c>
      <c r="U172" s="8" t="inlineStr">
        <is>
          <t>Close-up craft shot; stylist testimonial</t>
        </is>
      </c>
      <c r="V172" s="8" t="inlineStr">
        <is>
          <t>No Daraz Nepal listing found. Price set from landed cost + target margin. You set the anchor here.</t>
        </is>
      </c>
      <c r="W172" s="16">
        <f>IFERROR(ROUND(MIN(10,O172/1500)*IF(E172="Profit",1.4,1),2),"")</f>
        <v/>
      </c>
    </row>
    <row r="173" ht="30" customHeight="1">
      <c r="A173" s="10" t="inlineStr">
        <is>
          <t>ETP-169</t>
        </is>
      </c>
      <c r="B173" s="8" t="inlineStr">
        <is>
          <t>Ikonic Professional Pro Line Iktk-118W Hair Cutting Scissor (5.5 Inch)</t>
        </is>
      </c>
      <c r="C173" s="10" t="inlineStr">
        <is>
          <t>Ikonic</t>
        </is>
      </c>
      <c r="D173" s="10" t="inlineStr">
        <is>
          <t>Salon Tools</t>
        </is>
      </c>
      <c r="E173" s="10" t="inlineStr">
        <is>
          <t>Attach</t>
        </is>
      </c>
      <c r="F173" s="10" t="inlineStr">
        <is>
          <t>BOTH</t>
        </is>
      </c>
      <c r="G173" s="8" t="inlineStr">
        <is>
          <t>Working stylist buying their own kit</t>
        </is>
      </c>
      <c r="H173" s="11" t="n">
        <v>2633</v>
      </c>
      <c r="I173" s="11" t="n">
        <v>4050</v>
      </c>
      <c r="J173" s="11" t="n"/>
      <c r="K173" s="12" t="inlineStr">
        <is>
          <t>NO-NEPAL-LISTING</t>
        </is>
      </c>
      <c r="L173" s="13">
        <f>IF(J173&gt;0,J173,ROUND(P173/(1-M173),-1))</f>
        <v/>
      </c>
      <c r="M173" s="14" t="n">
        <v>0.35</v>
      </c>
      <c r="N173" s="13">
        <f>ROUND(L173*(1-M173),0)</f>
        <v/>
      </c>
      <c r="O173" s="13">
        <f>L173-N173</f>
        <v/>
      </c>
      <c r="P173" s="13">
        <f>IF(H173&gt;0,ROUND(H173*(1-IF(E173="Profit",DIST_FURN,DIST_TOOL))*FX_PEG*LANDED_MULT,0),"")</f>
        <v/>
      </c>
      <c r="Q173" s="8" t="inlineStr">
        <is>
          <t>https://www.ikonicworld.com/products/ikonic-pro-line-hair-cutting-scissor-iktk-118w</t>
        </is>
      </c>
      <c r="R173" s="8" t="inlineStr">
        <is>
          <t>Low volume, high attach rate</t>
        </is>
      </c>
      <c r="S173" s="8" t="inlineStr">
        <is>
          <t>Low - rarely searched directly</t>
        </is>
      </c>
      <c r="T173" s="15">
        <f>IF(E173="Profit",1,IF(O173&gt;2500,2,3))</f>
        <v/>
      </c>
      <c r="U173" s="8" t="inlineStr">
        <is>
          <t>Close-up craft shot; stylist testimonial</t>
        </is>
      </c>
      <c r="V173" s="8" t="inlineStr">
        <is>
          <t>No Daraz Nepal listing found. Price set from landed cost + target margin. You set the anchor here.</t>
        </is>
      </c>
      <c r="W173" s="16">
        <f>IFERROR(ROUND(MIN(10,O173/1500)*IF(E173="Profit",1.4,1),2),"")</f>
        <v/>
      </c>
    </row>
    <row r="174" ht="30" customHeight="1">
      <c r="A174" s="10" t="inlineStr">
        <is>
          <t>ETP-170</t>
        </is>
      </c>
      <c r="B174" s="8" t="inlineStr">
        <is>
          <t>Ikonic Professional Pro Line Iktk-105F Hair Cutting Scissor (6 Inch)</t>
        </is>
      </c>
      <c r="C174" s="10" t="inlineStr">
        <is>
          <t>Ikonic</t>
        </is>
      </c>
      <c r="D174" s="10" t="inlineStr">
        <is>
          <t>Salon Tools</t>
        </is>
      </c>
      <c r="E174" s="10" t="inlineStr">
        <is>
          <t>Attach</t>
        </is>
      </c>
      <c r="F174" s="10" t="inlineStr">
        <is>
          <t>BOTH</t>
        </is>
      </c>
      <c r="G174" s="8" t="inlineStr">
        <is>
          <t>Working stylist buying their own kit</t>
        </is>
      </c>
      <c r="H174" s="11" t="n">
        <v>2633</v>
      </c>
      <c r="I174" s="11" t="n">
        <v>4050</v>
      </c>
      <c r="J174" s="11" t="n"/>
      <c r="K174" s="12" t="inlineStr">
        <is>
          <t>NO-NEPAL-LISTING</t>
        </is>
      </c>
      <c r="L174" s="13">
        <f>IF(J174&gt;0,J174,ROUND(P174/(1-M174),-1))</f>
        <v/>
      </c>
      <c r="M174" s="14" t="n">
        <v>0.35</v>
      </c>
      <c r="N174" s="13">
        <f>ROUND(L174*(1-M174),0)</f>
        <v/>
      </c>
      <c r="O174" s="13">
        <f>L174-N174</f>
        <v/>
      </c>
      <c r="P174" s="13">
        <f>IF(H174&gt;0,ROUND(H174*(1-IF(E174="Profit",DIST_FURN,DIST_TOOL))*FX_PEG*LANDED_MULT,0),"")</f>
        <v/>
      </c>
      <c r="Q174" s="8" t="inlineStr">
        <is>
          <t>https://www.ikonicworld.com/products/ikonic-pro-line-hair-cutting-scissor-iktk-105f</t>
        </is>
      </c>
      <c r="R174" s="8" t="inlineStr">
        <is>
          <t>Low volume, high attach rate</t>
        </is>
      </c>
      <c r="S174" s="8" t="inlineStr">
        <is>
          <t>Low - rarely searched directly</t>
        </is>
      </c>
      <c r="T174" s="15">
        <f>IF(E174="Profit",1,IF(O174&gt;2500,2,3))</f>
        <v/>
      </c>
      <c r="U174" s="8" t="inlineStr">
        <is>
          <t>Close-up craft shot; stylist testimonial</t>
        </is>
      </c>
      <c r="V174" s="8" t="inlineStr">
        <is>
          <t>No Daraz Nepal listing found. Price set from landed cost + target margin. You set the anchor here.</t>
        </is>
      </c>
      <c r="W174" s="16">
        <f>IFERROR(ROUND(MIN(10,O174/1500)*IF(E174="Profit",1.4,1),2),"")</f>
        <v/>
      </c>
    </row>
    <row r="175" ht="30" customHeight="1">
      <c r="A175" s="10" t="inlineStr">
        <is>
          <t>ETP-171</t>
        </is>
      </c>
      <c r="B175" s="8" t="inlineStr">
        <is>
          <t>Ikonic Professional Pro Basic Ikmr-205BT Hair Texturizing Scissor (5.5 Inch)</t>
        </is>
      </c>
      <c r="C175" s="10" t="inlineStr">
        <is>
          <t>Ikonic</t>
        </is>
      </c>
      <c r="D175" s="10" t="inlineStr">
        <is>
          <t>Salon Tools</t>
        </is>
      </c>
      <c r="E175" s="10" t="inlineStr">
        <is>
          <t>Attach</t>
        </is>
      </c>
      <c r="F175" s="10" t="inlineStr">
        <is>
          <t>BOTH</t>
        </is>
      </c>
      <c r="G175" s="8" t="inlineStr">
        <is>
          <t>Working stylist buying their own kit</t>
        </is>
      </c>
      <c r="H175" s="11" t="n">
        <v>2345</v>
      </c>
      <c r="I175" s="11" t="n">
        <v>3350</v>
      </c>
      <c r="J175" s="11" t="n"/>
      <c r="K175" s="12" t="inlineStr">
        <is>
          <t>NO-NEPAL-LISTING</t>
        </is>
      </c>
      <c r="L175" s="13">
        <f>IF(J175&gt;0,J175,ROUND(P175/(1-M175),-1))</f>
        <v/>
      </c>
      <c r="M175" s="14" t="n">
        <v>0.35</v>
      </c>
      <c r="N175" s="13">
        <f>ROUND(L175*(1-M175),0)</f>
        <v/>
      </c>
      <c r="O175" s="13">
        <f>L175-N175</f>
        <v/>
      </c>
      <c r="P175" s="13">
        <f>IF(H175&gt;0,ROUND(H175*(1-IF(E175="Profit",DIST_FURN,DIST_TOOL))*FX_PEG*LANDED_MULT,0),"")</f>
        <v/>
      </c>
      <c r="Q175" s="8" t="inlineStr">
        <is>
          <t>https://www.ikonicworld.com/products/ikonic-pro-basic-hair-texturizing-scissor-ikmr-205bt</t>
        </is>
      </c>
      <c r="R175" s="8" t="inlineStr">
        <is>
          <t>Low volume, high attach rate</t>
        </is>
      </c>
      <c r="S175" s="8" t="inlineStr">
        <is>
          <t>Low - rarely searched directly</t>
        </is>
      </c>
      <c r="T175" s="15">
        <f>IF(E175="Profit",1,IF(O175&gt;2500,2,3))</f>
        <v/>
      </c>
      <c r="U175" s="8" t="inlineStr">
        <is>
          <t>Close-up craft shot; stylist testimonial</t>
        </is>
      </c>
      <c r="V175" s="8" t="inlineStr">
        <is>
          <t>No Daraz Nepal listing found. Price set from landed cost + target margin. You set the anchor here.</t>
        </is>
      </c>
      <c r="W175" s="16">
        <f>IFERROR(ROUND(MIN(10,O175/1500)*IF(E175="Profit",1.4,1),2),"")</f>
        <v/>
      </c>
    </row>
    <row r="176" ht="30" customHeight="1">
      <c r="A176" s="10" t="inlineStr">
        <is>
          <t>ETP-172</t>
        </is>
      </c>
      <c r="B176" s="8" t="inlineStr">
        <is>
          <t>Ikonic Professional B Series - 5.5 Inch Hair Cutting Scissor</t>
        </is>
      </c>
      <c r="C176" s="10" t="inlineStr">
        <is>
          <t>Ikonic</t>
        </is>
      </c>
      <c r="D176" s="10" t="inlineStr">
        <is>
          <t>Salon Tools</t>
        </is>
      </c>
      <c r="E176" s="10" t="inlineStr">
        <is>
          <t>Attach</t>
        </is>
      </c>
      <c r="F176" s="10" t="inlineStr">
        <is>
          <t>BOTH</t>
        </is>
      </c>
      <c r="G176" s="8" t="inlineStr">
        <is>
          <t>Working stylist buying their own kit</t>
        </is>
      </c>
      <c r="H176" s="11" t="n">
        <v>2226</v>
      </c>
      <c r="I176" s="11" t="n">
        <v>3425</v>
      </c>
      <c r="J176" s="11" t="n"/>
      <c r="K176" s="12" t="inlineStr">
        <is>
          <t>NO-NEPAL-LISTING</t>
        </is>
      </c>
      <c r="L176" s="13">
        <f>IF(J176&gt;0,J176,ROUND(P176/(1-M176),-1))</f>
        <v/>
      </c>
      <c r="M176" s="14" t="n">
        <v>0.35</v>
      </c>
      <c r="N176" s="13">
        <f>ROUND(L176*(1-M176),0)</f>
        <v/>
      </c>
      <c r="O176" s="13">
        <f>L176-N176</f>
        <v/>
      </c>
      <c r="P176" s="13">
        <f>IF(H176&gt;0,ROUND(H176*(1-IF(E176="Profit",DIST_FURN,DIST_TOOL))*FX_PEG*LANDED_MULT,0),"")</f>
        <v/>
      </c>
      <c r="Q176" s="8" t="inlineStr">
        <is>
          <t>https://www.ikonicworld.com/products/ikonic-barber-scissor-ik-b55</t>
        </is>
      </c>
      <c r="R176" s="8" t="inlineStr">
        <is>
          <t>Low volume, high attach rate</t>
        </is>
      </c>
      <c r="S176" s="8" t="inlineStr">
        <is>
          <t>Low - rarely searched directly</t>
        </is>
      </c>
      <c r="T176" s="15">
        <f>IF(E176="Profit",1,IF(O176&gt;2500,2,3))</f>
        <v/>
      </c>
      <c r="U176" s="8" t="inlineStr">
        <is>
          <t>Close-up craft shot; stylist testimonial</t>
        </is>
      </c>
      <c r="V176" s="8" t="inlineStr">
        <is>
          <t>No Daraz Nepal listing found. Price set from landed cost + target margin. You set the anchor here.</t>
        </is>
      </c>
      <c r="W176" s="16">
        <f>IFERROR(ROUND(MIN(10,O176/1500)*IF(E176="Profit",1.4,1),2),"")</f>
        <v/>
      </c>
    </row>
    <row r="177" ht="30" customHeight="1">
      <c r="A177" s="10" t="inlineStr">
        <is>
          <t>ETP-173</t>
        </is>
      </c>
      <c r="B177" s="8" t="inlineStr">
        <is>
          <t>Ikonic Professional Hair Cutting Scissor F-155 Series - 5.5 Inch</t>
        </is>
      </c>
      <c r="C177" s="10" t="inlineStr">
        <is>
          <t>Ikonic</t>
        </is>
      </c>
      <c r="D177" s="10" t="inlineStr">
        <is>
          <t>Salon Tools</t>
        </is>
      </c>
      <c r="E177" s="10" t="inlineStr">
        <is>
          <t>Attach</t>
        </is>
      </c>
      <c r="F177" s="10" t="inlineStr">
        <is>
          <t>BOTH</t>
        </is>
      </c>
      <c r="G177" s="8" t="inlineStr">
        <is>
          <t>Working stylist buying their own kit</t>
        </is>
      </c>
      <c r="H177" s="11" t="n">
        <v>2205</v>
      </c>
      <c r="I177" s="11" t="n">
        <v>3150</v>
      </c>
      <c r="J177" s="11" t="n"/>
      <c r="K177" s="12" t="inlineStr">
        <is>
          <t>NO-NEPAL-LISTING</t>
        </is>
      </c>
      <c r="L177" s="13">
        <f>IF(J177&gt;0,J177,ROUND(P177/(1-M177),-1))</f>
        <v/>
      </c>
      <c r="M177" s="14" t="n">
        <v>0.35</v>
      </c>
      <c r="N177" s="13">
        <f>ROUND(L177*(1-M177),0)</f>
        <v/>
      </c>
      <c r="O177" s="13">
        <f>L177-N177</f>
        <v/>
      </c>
      <c r="P177" s="13">
        <f>IF(H177&gt;0,ROUND(H177*(1-IF(E177="Profit",DIST_FURN,DIST_TOOL))*FX_PEG*LANDED_MULT,0),"")</f>
        <v/>
      </c>
      <c r="Q177" s="8" t="inlineStr">
        <is>
          <t>https://www.ikonicworld.com/products/ikonic-professional-barber-scissor-ik-f155</t>
        </is>
      </c>
      <c r="R177" s="8" t="inlineStr">
        <is>
          <t>Low volume, high attach rate</t>
        </is>
      </c>
      <c r="S177" s="8" t="inlineStr">
        <is>
          <t>Low - rarely searched directly</t>
        </is>
      </c>
      <c r="T177" s="15">
        <f>IF(E177="Profit",1,IF(O177&gt;2500,2,3))</f>
        <v/>
      </c>
      <c r="U177" s="8" t="inlineStr">
        <is>
          <t>Close-up craft shot; stylist testimonial</t>
        </is>
      </c>
      <c r="V177" s="8" t="inlineStr">
        <is>
          <t>No Daraz Nepal listing found. Price set from landed cost + target margin. You set the anchor here.</t>
        </is>
      </c>
      <c r="W177" s="16">
        <f>IFERROR(ROUND(MIN(10,O177/1500)*IF(E177="Profit",1.4,1),2),"")</f>
        <v/>
      </c>
    </row>
    <row r="178" ht="30" customHeight="1">
      <c r="A178" s="10" t="inlineStr">
        <is>
          <t>ETP-174</t>
        </is>
      </c>
      <c r="B178" s="8" t="inlineStr">
        <is>
          <t>Ikonic Scissor F-160 Series - 6 inch</t>
        </is>
      </c>
      <c r="C178" s="10" t="inlineStr">
        <is>
          <t>Ikonic</t>
        </is>
      </c>
      <c r="D178" s="10" t="inlineStr">
        <is>
          <t>Salon Tools</t>
        </is>
      </c>
      <c r="E178" s="10" t="inlineStr">
        <is>
          <t>Attach</t>
        </is>
      </c>
      <c r="F178" s="10" t="inlineStr">
        <is>
          <t>BOTH</t>
        </is>
      </c>
      <c r="G178" s="8" t="inlineStr">
        <is>
          <t>Working stylist buying their own kit</t>
        </is>
      </c>
      <c r="H178" s="11" t="n">
        <v>2048</v>
      </c>
      <c r="I178" s="11" t="n">
        <v>3150</v>
      </c>
      <c r="J178" s="11" t="n"/>
      <c r="K178" s="12" t="inlineStr">
        <is>
          <t>NO-NEPAL-LISTING</t>
        </is>
      </c>
      <c r="L178" s="13">
        <f>IF(J178&gt;0,J178,ROUND(P178/(1-M178),-1))</f>
        <v/>
      </c>
      <c r="M178" s="14" t="n">
        <v>0.35</v>
      </c>
      <c r="N178" s="13">
        <f>ROUND(L178*(1-M178),0)</f>
        <v/>
      </c>
      <c r="O178" s="13">
        <f>L178-N178</f>
        <v/>
      </c>
      <c r="P178" s="13">
        <f>IF(H178&gt;0,ROUND(H178*(1-IF(E178="Profit",DIST_FURN,DIST_TOOL))*FX_PEG*LANDED_MULT,0),"")</f>
        <v/>
      </c>
      <c r="Q178" s="8" t="inlineStr">
        <is>
          <t>https://www.ikonicworld.com/products/ikonic-barber-scissor-ik-f160</t>
        </is>
      </c>
      <c r="R178" s="8" t="inlineStr">
        <is>
          <t>Low volume, high attach rate</t>
        </is>
      </c>
      <c r="S178" s="8" t="inlineStr">
        <is>
          <t>Low - rarely searched directly</t>
        </is>
      </c>
      <c r="T178" s="15">
        <f>IF(E178="Profit",1,IF(O178&gt;2500,2,3))</f>
        <v/>
      </c>
      <c r="U178" s="8" t="inlineStr">
        <is>
          <t>Close-up craft shot; stylist testimonial</t>
        </is>
      </c>
      <c r="V178" s="8" t="inlineStr">
        <is>
          <t>No Daraz Nepal listing found. Price set from landed cost + target margin. You set the anchor here.</t>
        </is>
      </c>
      <c r="W178" s="16">
        <f>IFERROR(ROUND(MIN(10,O178/1500)*IF(E178="Profit",1.4,1),2),"")</f>
        <v/>
      </c>
    </row>
    <row r="179" ht="30" customHeight="1">
      <c r="A179" s="10" t="inlineStr">
        <is>
          <t>ETP-175</t>
        </is>
      </c>
      <c r="B179" s="8" t="inlineStr">
        <is>
          <t>Ikonic Professional Hair dressing Scissor - Ik - F150 (5 Inch)</t>
        </is>
      </c>
      <c r="C179" s="10" t="inlineStr">
        <is>
          <t>Ikonic</t>
        </is>
      </c>
      <c r="D179" s="10" t="inlineStr">
        <is>
          <t>Salon Tools</t>
        </is>
      </c>
      <c r="E179" s="10" t="inlineStr">
        <is>
          <t>Attach</t>
        </is>
      </c>
      <c r="F179" s="10" t="inlineStr">
        <is>
          <t>BOTH</t>
        </is>
      </c>
      <c r="G179" s="8" t="inlineStr">
        <is>
          <t>Working stylist buying their own kit</t>
        </is>
      </c>
      <c r="H179" s="11" t="n">
        <v>1890</v>
      </c>
      <c r="I179" s="11" t="n">
        <v>3150</v>
      </c>
      <c r="J179" s="11" t="n"/>
      <c r="K179" s="12" t="inlineStr">
        <is>
          <t>NO-NEPAL-LISTING</t>
        </is>
      </c>
      <c r="L179" s="13">
        <f>IF(J179&gt;0,J179,ROUND(P179/(1-M179),-1))</f>
        <v/>
      </c>
      <c r="M179" s="14" t="n">
        <v>0.35</v>
      </c>
      <c r="N179" s="13">
        <f>ROUND(L179*(1-M179),0)</f>
        <v/>
      </c>
      <c r="O179" s="13">
        <f>L179-N179</f>
        <v/>
      </c>
      <c r="P179" s="13">
        <f>IF(H179&gt;0,ROUND(H179*(1-IF(E179="Profit",DIST_FURN,DIST_TOOL))*FX_PEG*LANDED_MULT,0),"")</f>
        <v/>
      </c>
      <c r="Q179" s="8" t="inlineStr">
        <is>
          <t>https://www.ikonicworld.com/products/ikonic-hairdressing-scissor-ik-f150</t>
        </is>
      </c>
      <c r="R179" s="8" t="inlineStr">
        <is>
          <t>Low volume, high attach rate</t>
        </is>
      </c>
      <c r="S179" s="8" t="inlineStr">
        <is>
          <t>Low - rarely searched directly</t>
        </is>
      </c>
      <c r="T179" s="15">
        <f>IF(E179="Profit",1,IF(O179&gt;2500,2,3))</f>
        <v/>
      </c>
      <c r="U179" s="8" t="inlineStr">
        <is>
          <t>Close-up craft shot; stylist testimonial</t>
        </is>
      </c>
      <c r="V179" s="8" t="inlineStr">
        <is>
          <t>No Daraz Nepal listing found. Price set from landed cost + target margin. You set the anchor here.</t>
        </is>
      </c>
      <c r="W179" s="16">
        <f>IFERROR(ROUND(MIN(10,O179/1500)*IF(E179="Profit",1.4,1),2),"")</f>
        <v/>
      </c>
    </row>
    <row r="180" ht="30" customHeight="1">
      <c r="A180" s="10" t="inlineStr">
        <is>
          <t>ETP-176</t>
        </is>
      </c>
      <c r="B180" s="8" t="inlineStr">
        <is>
          <t>Ikonic Professional  A-50 Series - 5 Inch Hair Cutting Scissor</t>
        </is>
      </c>
      <c r="C180" s="10" t="inlineStr">
        <is>
          <t>Ikonic</t>
        </is>
      </c>
      <c r="D180" s="10" t="inlineStr">
        <is>
          <t>Salon Tools</t>
        </is>
      </c>
      <c r="E180" s="10" t="inlineStr">
        <is>
          <t>Attach</t>
        </is>
      </c>
      <c r="F180" s="10" t="inlineStr">
        <is>
          <t>BOTH</t>
        </is>
      </c>
      <c r="G180" s="8" t="inlineStr">
        <is>
          <t>Working stylist buying their own kit</t>
        </is>
      </c>
      <c r="H180" s="11" t="n">
        <v>1260</v>
      </c>
      <c r="I180" s="11" t="n">
        <v>1800</v>
      </c>
      <c r="J180" s="11" t="n"/>
      <c r="K180" s="12" t="inlineStr">
        <is>
          <t>NO-NEPAL-LISTING</t>
        </is>
      </c>
      <c r="L180" s="13">
        <f>IF(J180&gt;0,J180,ROUND(P180/(1-M180),-1))</f>
        <v/>
      </c>
      <c r="M180" s="14" t="n">
        <v>0.35</v>
      </c>
      <c r="N180" s="13">
        <f>ROUND(L180*(1-M180),0)</f>
        <v/>
      </c>
      <c r="O180" s="13">
        <f>L180-N180</f>
        <v/>
      </c>
      <c r="P180" s="13">
        <f>IF(H180&gt;0,ROUND(H180*(1-IF(E180="Profit",DIST_FURN,DIST_TOOL))*FX_PEG*LANDED_MULT,0),"")</f>
        <v/>
      </c>
      <c r="Q180" s="8" t="inlineStr">
        <is>
          <t>https://www.ikonicworld.com/products/ikonic-barber-scissor-a50</t>
        </is>
      </c>
      <c r="R180" s="8" t="inlineStr">
        <is>
          <t>Low volume, high attach rate</t>
        </is>
      </c>
      <c r="S180" s="8" t="inlineStr">
        <is>
          <t>Low - rarely searched directly</t>
        </is>
      </c>
      <c r="T180" s="15">
        <f>IF(E180="Profit",1,IF(O180&gt;2500,2,3))</f>
        <v/>
      </c>
      <c r="U180" s="8" t="inlineStr">
        <is>
          <t>Close-up craft shot; stylist testimonial</t>
        </is>
      </c>
      <c r="V180" s="8" t="inlineStr">
        <is>
          <t>No Daraz Nepal listing found. Price set from landed cost + target margin. You set the anchor here.</t>
        </is>
      </c>
      <c r="W180" s="16">
        <f>IFERROR(ROUND(MIN(10,O180/1500)*IF(E180="Profit",1.4,1),2),"")</f>
        <v/>
      </c>
    </row>
    <row r="181" ht="30" customHeight="1">
      <c r="A181" s="10" t="inlineStr">
        <is>
          <t>ETP-177</t>
        </is>
      </c>
      <c r="B181" s="8" t="inlineStr">
        <is>
          <t>Ikonic Professional A-60 Series - 6 Inch Hair Cutting Scissor</t>
        </is>
      </c>
      <c r="C181" s="10" t="inlineStr">
        <is>
          <t>Ikonic</t>
        </is>
      </c>
      <c r="D181" s="10" t="inlineStr">
        <is>
          <t>Salon Tools</t>
        </is>
      </c>
      <c r="E181" s="10" t="inlineStr">
        <is>
          <t>Attach</t>
        </is>
      </c>
      <c r="F181" s="10" t="inlineStr">
        <is>
          <t>BOTH</t>
        </is>
      </c>
      <c r="G181" s="8" t="inlineStr">
        <is>
          <t>Working stylist buying their own kit</t>
        </is>
      </c>
      <c r="H181" s="11" t="n">
        <v>1260</v>
      </c>
      <c r="I181" s="11" t="n">
        <v>1800</v>
      </c>
      <c r="J181" s="11" t="n"/>
      <c r="K181" s="12" t="inlineStr">
        <is>
          <t>NO-NEPAL-LISTING</t>
        </is>
      </c>
      <c r="L181" s="13">
        <f>IF(J181&gt;0,J181,ROUND(P181/(1-M181),-1))</f>
        <v/>
      </c>
      <c r="M181" s="14" t="n">
        <v>0.35</v>
      </c>
      <c r="N181" s="13">
        <f>ROUND(L181*(1-M181),0)</f>
        <v/>
      </c>
      <c r="O181" s="13">
        <f>L181-N181</f>
        <v/>
      </c>
      <c r="P181" s="13">
        <f>IF(H181&gt;0,ROUND(H181*(1-IF(E181="Profit",DIST_FURN,DIST_TOOL))*FX_PEG*LANDED_MULT,0),"")</f>
        <v/>
      </c>
      <c r="Q181" s="8" t="inlineStr">
        <is>
          <t>https://www.ikonicworld.com/products/ikonic-hairdressing-scissor-a60</t>
        </is>
      </c>
      <c r="R181" s="8" t="inlineStr">
        <is>
          <t>Low volume, high attach rate</t>
        </is>
      </c>
      <c r="S181" s="8" t="inlineStr">
        <is>
          <t>Low - rarely searched directly</t>
        </is>
      </c>
      <c r="T181" s="15">
        <f>IF(E181="Profit",1,IF(O181&gt;2500,2,3))</f>
        <v/>
      </c>
      <c r="U181" s="8" t="inlineStr">
        <is>
          <t>Close-up craft shot; stylist testimonial</t>
        </is>
      </c>
      <c r="V181" s="8" t="inlineStr">
        <is>
          <t>No Daraz Nepal listing found. Price set from landed cost + target margin. You set the anchor here.</t>
        </is>
      </c>
      <c r="W181" s="16">
        <f>IFERROR(ROUND(MIN(10,O181/1500)*IF(E181="Profit",1.4,1),2),"")</f>
        <v/>
      </c>
    </row>
    <row r="182" ht="30" customHeight="1">
      <c r="A182" s="10" t="inlineStr">
        <is>
          <t>ETP-178</t>
        </is>
      </c>
      <c r="B182" s="8" t="inlineStr">
        <is>
          <t>Ikonic Professional S53 - 5.5 Inch Hair Thinning Scissor</t>
        </is>
      </c>
      <c r="C182" s="10" t="inlineStr">
        <is>
          <t>Ikonic</t>
        </is>
      </c>
      <c r="D182" s="10" t="inlineStr">
        <is>
          <t>Salon Tools</t>
        </is>
      </c>
      <c r="E182" s="10" t="inlineStr">
        <is>
          <t>Attach</t>
        </is>
      </c>
      <c r="F182" s="10" t="inlineStr">
        <is>
          <t>BOTH</t>
        </is>
      </c>
      <c r="G182" s="8" t="inlineStr">
        <is>
          <t>Working stylist buying their own kit</t>
        </is>
      </c>
      <c r="H182" s="11" t="n">
        <v>1225</v>
      </c>
      <c r="I182" s="11" t="n">
        <v>1750</v>
      </c>
      <c r="J182" s="11" t="n"/>
      <c r="K182" s="12" t="inlineStr">
        <is>
          <t>NO-NEPAL-LISTING</t>
        </is>
      </c>
      <c r="L182" s="13">
        <f>IF(J182&gt;0,J182,ROUND(P182/(1-M182),-1))</f>
        <v/>
      </c>
      <c r="M182" s="14" t="n">
        <v>0.35</v>
      </c>
      <c r="N182" s="13">
        <f>ROUND(L182*(1-M182),0)</f>
        <v/>
      </c>
      <c r="O182" s="13">
        <f>L182-N182</f>
        <v/>
      </c>
      <c r="P182" s="13">
        <f>IF(H182&gt;0,ROUND(H182*(1-IF(E182="Profit",DIST_FURN,DIST_TOOL))*FX_PEG*LANDED_MULT,0),"")</f>
        <v/>
      </c>
      <c r="Q182" s="8" t="inlineStr">
        <is>
          <t>https://www.ikonicworld.com/products/ikonic-professional-hair-scissor-ik-s53-thinning</t>
        </is>
      </c>
      <c r="R182" s="8" t="inlineStr">
        <is>
          <t>Low volume, high attach rate</t>
        </is>
      </c>
      <c r="S182" s="8" t="inlineStr">
        <is>
          <t>Low - rarely searched directly</t>
        </is>
      </c>
      <c r="T182" s="15">
        <f>IF(E182="Profit",1,IF(O182&gt;2500,2,3))</f>
        <v/>
      </c>
      <c r="U182" s="8" t="inlineStr">
        <is>
          <t>Close-up craft shot; stylist testimonial</t>
        </is>
      </c>
      <c r="V182" s="8" t="inlineStr">
        <is>
          <t>No Daraz Nepal listing found. Price set from landed cost + target margin. You set the anchor here.</t>
        </is>
      </c>
      <c r="W182" s="16">
        <f>IFERROR(ROUND(MIN(10,O182/1500)*IF(E182="Profit",1.4,1),2),"")</f>
        <v/>
      </c>
    </row>
    <row r="183" ht="30" customHeight="1">
      <c r="A183" s="10" t="inlineStr">
        <is>
          <t>ETP-179</t>
        </is>
      </c>
      <c r="B183" s="8" t="inlineStr">
        <is>
          <t>Ikonic Professional A Series - 5.5 Inch Hair Cutting Scissor</t>
        </is>
      </c>
      <c r="C183" s="10" t="inlineStr">
        <is>
          <t>Ikonic</t>
        </is>
      </c>
      <c r="D183" s="10" t="inlineStr">
        <is>
          <t>Salon Tools</t>
        </is>
      </c>
      <c r="E183" s="10" t="inlineStr">
        <is>
          <t>Attach</t>
        </is>
      </c>
      <c r="F183" s="10" t="inlineStr">
        <is>
          <t>BOTH</t>
        </is>
      </c>
      <c r="G183" s="8" t="inlineStr">
        <is>
          <t>Working stylist buying their own kit</t>
        </is>
      </c>
      <c r="H183" s="11" t="n">
        <v>1155</v>
      </c>
      <c r="I183" s="11" t="n">
        <v>1650</v>
      </c>
      <c r="J183" s="11" t="n"/>
      <c r="K183" s="12" t="inlineStr">
        <is>
          <t>NO-NEPAL-LISTING</t>
        </is>
      </c>
      <c r="L183" s="13">
        <f>IF(J183&gt;0,J183,ROUND(P183/(1-M183),-1))</f>
        <v/>
      </c>
      <c r="M183" s="14" t="n">
        <v>0.35</v>
      </c>
      <c r="N183" s="13">
        <f>ROUND(L183*(1-M183),0)</f>
        <v/>
      </c>
      <c r="O183" s="13">
        <f>L183-N183</f>
        <v/>
      </c>
      <c r="P183" s="13">
        <f>IF(H183&gt;0,ROUND(H183*(1-IF(E183="Profit",DIST_FURN,DIST_TOOL))*FX_PEG*LANDED_MULT,0),"")</f>
        <v/>
      </c>
      <c r="Q183" s="8" t="inlineStr">
        <is>
          <t>https://www.ikonicworld.com/products/ikonic-professional-hairdressing-scissor-a55</t>
        </is>
      </c>
      <c r="R183" s="8" t="inlineStr">
        <is>
          <t>Low volume, high attach rate</t>
        </is>
      </c>
      <c r="S183" s="8" t="inlineStr">
        <is>
          <t>Low - rarely searched directly</t>
        </is>
      </c>
      <c r="T183" s="15">
        <f>IF(E183="Profit",1,IF(O183&gt;2500,2,3))</f>
        <v/>
      </c>
      <c r="U183" s="8" t="inlineStr">
        <is>
          <t>Close-up craft shot; stylist testimonial</t>
        </is>
      </c>
      <c r="V183" s="8" t="inlineStr">
        <is>
          <t>No Daraz Nepal listing found. Price set from landed cost + target margin. You set the anchor here.</t>
        </is>
      </c>
      <c r="W183" s="16">
        <f>IFERROR(ROUND(MIN(10,O183/1500)*IF(E183="Profit",1.4,1),2),"")</f>
        <v/>
      </c>
    </row>
    <row r="184" ht="30" customHeight="1">
      <c r="A184" s="10" t="inlineStr">
        <is>
          <t>ETP-180</t>
        </is>
      </c>
      <c r="B184" s="8" t="inlineStr">
        <is>
          <t>Ikonic Professional Pro Razor - Series 2</t>
        </is>
      </c>
      <c r="C184" s="10" t="inlineStr">
        <is>
          <t>Ikonic</t>
        </is>
      </c>
      <c r="D184" s="10" t="inlineStr">
        <is>
          <t>Salon Tools</t>
        </is>
      </c>
      <c r="E184" s="10" t="inlineStr">
        <is>
          <t>Attach</t>
        </is>
      </c>
      <c r="F184" s="10" t="inlineStr">
        <is>
          <t>BOTH</t>
        </is>
      </c>
      <c r="G184" s="8" t="inlineStr">
        <is>
          <t>Working stylist buying their own kit</t>
        </is>
      </c>
      <c r="H184" s="11" t="n">
        <v>840</v>
      </c>
      <c r="I184" s="11" t="n">
        <v>1200</v>
      </c>
      <c r="J184" s="11" t="n"/>
      <c r="K184" s="12" t="inlineStr">
        <is>
          <t>NO-NEPAL-LISTING</t>
        </is>
      </c>
      <c r="L184" s="13">
        <f>IF(J184&gt;0,J184,ROUND(P184/(1-M184),-1))</f>
        <v/>
      </c>
      <c r="M184" s="14" t="n">
        <v>0.35</v>
      </c>
      <c r="N184" s="13">
        <f>ROUND(L184*(1-M184),0)</f>
        <v/>
      </c>
      <c r="O184" s="13">
        <f>L184-N184</f>
        <v/>
      </c>
      <c r="P184" s="13">
        <f>IF(H184&gt;0,ROUND(H184*(1-IF(E184="Profit",DIST_FURN,DIST_TOOL))*FX_PEG*LANDED_MULT,0),"")</f>
        <v/>
      </c>
      <c r="Q184" s="8" t="inlineStr">
        <is>
          <t>https://www.ikonicworld.com/products/ikonic-professional-pro-razor-series-2</t>
        </is>
      </c>
      <c r="R184" s="8" t="inlineStr">
        <is>
          <t>Low volume, high attach rate</t>
        </is>
      </c>
      <c r="S184" s="8" t="inlineStr">
        <is>
          <t>Low - rarely searched directly</t>
        </is>
      </c>
      <c r="T184" s="15">
        <f>IF(E184="Profit",1,IF(O184&gt;2500,2,3))</f>
        <v/>
      </c>
      <c r="U184" s="8" t="inlineStr">
        <is>
          <t>Close-up craft shot; stylist testimonial</t>
        </is>
      </c>
      <c r="V184" s="8" t="inlineStr">
        <is>
          <t>No Daraz Nepal listing found. Price set from landed cost + target margin. You set the anchor here.</t>
        </is>
      </c>
      <c r="W184" s="16">
        <f>IFERROR(ROUND(MIN(10,O184/1500)*IF(E184="Profit",1.4,1),2),"")</f>
        <v/>
      </c>
    </row>
    <row r="185" ht="30" customHeight="1">
      <c r="A185" s="10" t="inlineStr">
        <is>
          <t>ETP-181</t>
        </is>
      </c>
      <c r="B185" s="8" t="inlineStr">
        <is>
          <t>Ikonic Professional J 55 Series - 5.5 Inch Hair Cutting Scissor</t>
        </is>
      </c>
      <c r="C185" s="10" t="inlineStr">
        <is>
          <t>Ikonic</t>
        </is>
      </c>
      <c r="D185" s="10" t="inlineStr">
        <is>
          <t>Salon Tools</t>
        </is>
      </c>
      <c r="E185" s="10" t="inlineStr">
        <is>
          <t>Attach</t>
        </is>
      </c>
      <c r="F185" s="10" t="inlineStr">
        <is>
          <t>BOTH</t>
        </is>
      </c>
      <c r="G185" s="8" t="inlineStr">
        <is>
          <t>Working stylist buying their own kit</t>
        </is>
      </c>
      <c r="H185" s="11" t="n">
        <v>770</v>
      </c>
      <c r="I185" s="11" t="n">
        <v>1100</v>
      </c>
      <c r="J185" s="11" t="n"/>
      <c r="K185" s="12" t="inlineStr">
        <is>
          <t>NO-NEPAL-LISTING</t>
        </is>
      </c>
      <c r="L185" s="13">
        <f>IF(J185&gt;0,J185,ROUND(P185/(1-M185),-1))</f>
        <v/>
      </c>
      <c r="M185" s="14" t="n">
        <v>0.35</v>
      </c>
      <c r="N185" s="13">
        <f>ROUND(L185*(1-M185),0)</f>
        <v/>
      </c>
      <c r="O185" s="13">
        <f>L185-N185</f>
        <v/>
      </c>
      <c r="P185" s="13">
        <f>IF(H185&gt;0,ROUND(H185*(1-IF(E185="Profit",DIST_FURN,DIST_TOOL))*FX_PEG*LANDED_MULT,0),"")</f>
        <v/>
      </c>
      <c r="Q185" s="8" t="inlineStr">
        <is>
          <t>https://www.ikonicworld.com/products/barber-scissor-ik-j55-5-5-inch</t>
        </is>
      </c>
      <c r="R185" s="8" t="inlineStr">
        <is>
          <t>Low volume, high attach rate</t>
        </is>
      </c>
      <c r="S185" s="8" t="inlineStr">
        <is>
          <t>Low - rarely searched directly</t>
        </is>
      </c>
      <c r="T185" s="15">
        <f>IF(E185="Profit",1,IF(O185&gt;2500,2,3))</f>
        <v/>
      </c>
      <c r="U185" s="8" t="inlineStr">
        <is>
          <t>Close-up craft shot; stylist testimonial</t>
        </is>
      </c>
      <c r="V185" s="8" t="inlineStr">
        <is>
          <t>No Daraz Nepal listing found. Price set from landed cost + target margin. You set the anchor here.</t>
        </is>
      </c>
      <c r="W185" s="16">
        <f>IFERROR(ROUND(MIN(10,O185/1500)*IF(E185="Profit",1.4,1),2),"")</f>
        <v/>
      </c>
    </row>
    <row r="186" ht="30" customHeight="1">
      <c r="A186" s="10" t="inlineStr">
        <is>
          <t>ETP-182</t>
        </is>
      </c>
      <c r="B186" s="8" t="inlineStr">
        <is>
          <t>Ikonic Professional  J30 - 5.5 Inch Thinning Scissor</t>
        </is>
      </c>
      <c r="C186" s="10" t="inlineStr">
        <is>
          <t>Ikonic</t>
        </is>
      </c>
      <c r="D186" s="10" t="inlineStr">
        <is>
          <t>Salon Tools</t>
        </is>
      </c>
      <c r="E186" s="10" t="inlineStr">
        <is>
          <t>Attach</t>
        </is>
      </c>
      <c r="F186" s="10" t="inlineStr">
        <is>
          <t>BOTH</t>
        </is>
      </c>
      <c r="G186" s="8" t="inlineStr">
        <is>
          <t>Working stylist buying their own kit</t>
        </is>
      </c>
      <c r="H186" s="11" t="n">
        <v>770</v>
      </c>
      <c r="I186" s="11" t="n">
        <v>1100</v>
      </c>
      <c r="J186" s="11" t="n"/>
      <c r="K186" s="12" t="inlineStr">
        <is>
          <t>NO-NEPAL-LISTING</t>
        </is>
      </c>
      <c r="L186" s="13">
        <f>IF(J186&gt;0,J186,ROUND(P186/(1-M186),-1))</f>
        <v/>
      </c>
      <c r="M186" s="14" t="n">
        <v>0.35</v>
      </c>
      <c r="N186" s="13">
        <f>ROUND(L186*(1-M186),0)</f>
        <v/>
      </c>
      <c r="O186" s="13">
        <f>L186-N186</f>
        <v/>
      </c>
      <c r="P186" s="13">
        <f>IF(H186&gt;0,ROUND(H186*(1-IF(E186="Profit",DIST_FURN,DIST_TOOL))*FX_PEG*LANDED_MULT,0),"")</f>
        <v/>
      </c>
      <c r="Q186" s="8" t="inlineStr">
        <is>
          <t>https://www.ikonicworld.com/products/hair-thinnng-scissor-ik-j30</t>
        </is>
      </c>
      <c r="R186" s="8" t="inlineStr">
        <is>
          <t>Low volume, high attach rate</t>
        </is>
      </c>
      <c r="S186" s="8" t="inlineStr">
        <is>
          <t>Low - rarely searched directly</t>
        </is>
      </c>
      <c r="T186" s="15">
        <f>IF(E186="Profit",1,IF(O186&gt;2500,2,3))</f>
        <v/>
      </c>
      <c r="U186" s="8" t="inlineStr">
        <is>
          <t>Close-up craft shot; stylist testimonial</t>
        </is>
      </c>
      <c r="V186" s="8" t="inlineStr">
        <is>
          <t>No Daraz Nepal listing found. Price set from landed cost + target margin. You set the anchor here.</t>
        </is>
      </c>
      <c r="W186" s="16">
        <f>IFERROR(ROUND(MIN(10,O186/1500)*IF(E186="Profit",1.4,1),2),"")</f>
        <v/>
      </c>
    </row>
    <row r="187" ht="30" customHeight="1">
      <c r="A187" s="10" t="inlineStr">
        <is>
          <t>ETP-183</t>
        </is>
      </c>
      <c r="B187" s="8" t="inlineStr">
        <is>
          <t xml:space="preserve">Ikonic Professional Pro Comb Set- (Set of 8 Pieces) </t>
        </is>
      </c>
      <c r="C187" s="10" t="inlineStr">
        <is>
          <t>Ikonic</t>
        </is>
      </c>
      <c r="D187" s="10" t="inlineStr">
        <is>
          <t>Brushes &amp; Combs</t>
        </is>
      </c>
      <c r="E187" s="10" t="inlineStr">
        <is>
          <t>Attach</t>
        </is>
      </c>
      <c r="F187" s="10" t="inlineStr">
        <is>
          <t>BOTH</t>
        </is>
      </c>
      <c r="G187" s="8" t="inlineStr">
        <is>
          <t>Add-on for every styling-tool buyer</t>
        </is>
      </c>
      <c r="H187" s="11" t="n">
        <v>1750</v>
      </c>
      <c r="I187" s="11" t="n">
        <v>2500</v>
      </c>
      <c r="J187" s="11" t="n"/>
      <c r="K187" s="12" t="inlineStr">
        <is>
          <t>NO-NEPAL-LISTING</t>
        </is>
      </c>
      <c r="L187" s="13">
        <f>IF(J187&gt;0,J187,ROUND(P187/(1-M187),-1))</f>
        <v/>
      </c>
      <c r="M187" s="14" t="n">
        <v>0.35</v>
      </c>
      <c r="N187" s="13">
        <f>ROUND(L187*(1-M187),0)</f>
        <v/>
      </c>
      <c r="O187" s="13">
        <f>L187-N187</f>
        <v/>
      </c>
      <c r="P187" s="13">
        <f>IF(H187&gt;0,ROUND(H187*(1-IF(E187="Profit",DIST_FURN,DIST_TOOL))*FX_PEG*LANDED_MULT,0),"")</f>
        <v/>
      </c>
      <c r="Q187" s="8" t="inlineStr">
        <is>
          <t>https://www.ikonicworld.com/products/ikonic-professional-pro-comb-set-set-of-8-pieces</t>
        </is>
      </c>
      <c r="R187" s="8" t="inlineStr">
        <is>
          <t>Low volume, high attach rate</t>
        </is>
      </c>
      <c r="S187" s="8" t="inlineStr">
        <is>
          <t>Low - rarely searched directly</t>
        </is>
      </c>
      <c r="T187" s="15">
        <f>IF(E187="Profit",1,IF(O187&gt;2500,2,3))</f>
        <v/>
      </c>
      <c r="U187" s="8" t="inlineStr">
        <is>
          <t>Bundle with any dryer; blow-dry technique clip</t>
        </is>
      </c>
      <c r="V187" s="8" t="inlineStr">
        <is>
          <t>No Daraz Nepal listing found. Price set from landed cost + target margin. You set the anchor here.</t>
        </is>
      </c>
      <c r="W187" s="16">
        <f>IFERROR(ROUND(MIN(10,O187/1500)*IF(E187="Profit",1.4,1),2),"")</f>
        <v/>
      </c>
    </row>
    <row r="188" ht="30" customHeight="1">
      <c r="A188" s="10" t="inlineStr">
        <is>
          <t>ETP-184</t>
        </is>
      </c>
      <c r="B188" s="8" t="inlineStr">
        <is>
          <t>Ikonic Professional Hair Dressing Comb Set- (Set of 10 Pieces)</t>
        </is>
      </c>
      <c r="C188" s="10" t="inlineStr">
        <is>
          <t>Ikonic</t>
        </is>
      </c>
      <c r="D188" s="10" t="inlineStr">
        <is>
          <t>Brushes &amp; Combs</t>
        </is>
      </c>
      <c r="E188" s="10" t="inlineStr">
        <is>
          <t>Attach</t>
        </is>
      </c>
      <c r="F188" s="10" t="inlineStr">
        <is>
          <t>BOTH</t>
        </is>
      </c>
      <c r="G188" s="8" t="inlineStr">
        <is>
          <t>Add-on for every styling-tool buyer</t>
        </is>
      </c>
      <c r="H188" s="11" t="n">
        <v>1050</v>
      </c>
      <c r="I188" s="11" t="n">
        <v>1500</v>
      </c>
      <c r="J188" s="11" t="n"/>
      <c r="K188" s="12" t="inlineStr">
        <is>
          <t>NO-NEPAL-LISTING</t>
        </is>
      </c>
      <c r="L188" s="13">
        <f>IF(J188&gt;0,J188,ROUND(P188/(1-M188),-1))</f>
        <v/>
      </c>
      <c r="M188" s="14" t="n">
        <v>0.35</v>
      </c>
      <c r="N188" s="13">
        <f>ROUND(L188*(1-M188),0)</f>
        <v/>
      </c>
      <c r="O188" s="13">
        <f>L188-N188</f>
        <v/>
      </c>
      <c r="P188" s="13">
        <f>IF(H188&gt;0,ROUND(H188*(1-IF(E188="Profit",DIST_FURN,DIST_TOOL))*FX_PEG*LANDED_MULT,0),"")</f>
        <v/>
      </c>
      <c r="Q188" s="8" t="inlineStr">
        <is>
          <t>https://www.ikonicworld.com/products/ikonic-professional-hair-dressing-comb-set-set-of-10-pieces</t>
        </is>
      </c>
      <c r="R188" s="8" t="inlineStr">
        <is>
          <t>Low volume, high attach rate</t>
        </is>
      </c>
      <c r="S188" s="8" t="inlineStr">
        <is>
          <t>Low - rarely searched directly</t>
        </is>
      </c>
      <c r="T188" s="15">
        <f>IF(E188="Profit",1,IF(O188&gt;2500,2,3))</f>
        <v/>
      </c>
      <c r="U188" s="8" t="inlineStr">
        <is>
          <t>Bundle with any dryer; blow-dry technique clip</t>
        </is>
      </c>
      <c r="V188" s="8" t="inlineStr">
        <is>
          <t>No Daraz Nepal listing found. Price set from landed cost + target margin. You set the anchor here.</t>
        </is>
      </c>
      <c r="W188" s="16">
        <f>IFERROR(ROUND(MIN(10,O188/1500)*IF(E188="Profit",1.4,1),2),"")</f>
        <v/>
      </c>
    </row>
    <row r="189" ht="30" customHeight="1">
      <c r="A189" s="10" t="inlineStr">
        <is>
          <t>ETP-185</t>
        </is>
      </c>
      <c r="B189" s="8" t="inlineStr">
        <is>
          <t>Ikonic Professional Ebony Extra Long Barrel Thermal Round Brush</t>
        </is>
      </c>
      <c r="C189" s="10" t="inlineStr">
        <is>
          <t>Ikonic</t>
        </is>
      </c>
      <c r="D189" s="10" t="inlineStr">
        <is>
          <t>Brushes &amp; Combs</t>
        </is>
      </c>
      <c r="E189" s="10" t="inlineStr">
        <is>
          <t>Attach</t>
        </is>
      </c>
      <c r="F189" s="10" t="inlineStr">
        <is>
          <t>BOTH</t>
        </is>
      </c>
      <c r="G189" s="8" t="inlineStr">
        <is>
          <t>Add-on for every styling-tool buyer</t>
        </is>
      </c>
      <c r="H189" s="11" t="n">
        <v>980</v>
      </c>
      <c r="I189" s="11" t="n">
        <v>1400</v>
      </c>
      <c r="J189" s="11" t="n"/>
      <c r="K189" s="12" t="inlineStr">
        <is>
          <t>NO-NEPAL-LISTING</t>
        </is>
      </c>
      <c r="L189" s="13">
        <f>IF(J189&gt;0,J189,ROUND(P189/(1-M189),-1))</f>
        <v/>
      </c>
      <c r="M189" s="14" t="n">
        <v>0.35</v>
      </c>
      <c r="N189" s="13">
        <f>ROUND(L189*(1-M189),0)</f>
        <v/>
      </c>
      <c r="O189" s="13">
        <f>L189-N189</f>
        <v/>
      </c>
      <c r="P189" s="13">
        <f>IF(H189&gt;0,ROUND(H189*(1-IF(E189="Profit",DIST_FURN,DIST_TOOL))*FX_PEG*LANDED_MULT,0),"")</f>
        <v/>
      </c>
      <c r="Q189" s="8" t="inlineStr">
        <is>
          <t>https://www.ikonicworld.com/products/ikonic-professional-extra-long-barrel-thermal-round-brush</t>
        </is>
      </c>
      <c r="R189" s="8" t="inlineStr">
        <is>
          <t>Low volume, high attach rate</t>
        </is>
      </c>
      <c r="S189" s="8" t="inlineStr">
        <is>
          <t>Low - rarely searched directly</t>
        </is>
      </c>
      <c r="T189" s="15">
        <f>IF(E189="Profit",1,IF(O189&gt;2500,2,3))</f>
        <v/>
      </c>
      <c r="U189" s="8" t="inlineStr">
        <is>
          <t>Bundle with any dryer; blow-dry technique clip</t>
        </is>
      </c>
      <c r="V189" s="8" t="inlineStr">
        <is>
          <t>No Daraz Nepal listing found. Price set from landed cost + target margin. You set the anchor here.</t>
        </is>
      </c>
      <c r="W189" s="16">
        <f>IFERROR(ROUND(MIN(10,O189/1500)*IF(E189="Profit",1.4,1),2),"")</f>
        <v/>
      </c>
    </row>
    <row r="190" ht="30" customHeight="1">
      <c r="A190" s="10" t="inlineStr">
        <is>
          <t>ETP-186</t>
        </is>
      </c>
      <c r="B190" s="8" t="inlineStr">
        <is>
          <t>Ikonic Professional Ebony Pro Paddle Hair Brush</t>
        </is>
      </c>
      <c r="C190" s="10" t="inlineStr">
        <is>
          <t>Ikonic</t>
        </is>
      </c>
      <c r="D190" s="10" t="inlineStr">
        <is>
          <t>Brushes &amp; Combs</t>
        </is>
      </c>
      <c r="E190" s="10" t="inlineStr">
        <is>
          <t>Attach</t>
        </is>
      </c>
      <c r="F190" s="10" t="inlineStr">
        <is>
          <t>BOTH</t>
        </is>
      </c>
      <c r="G190" s="8" t="inlineStr">
        <is>
          <t>Add-on for every styling-tool buyer</t>
        </is>
      </c>
      <c r="H190" s="11" t="n">
        <v>875</v>
      </c>
      <c r="I190" s="11" t="n">
        <v>1250</v>
      </c>
      <c r="J190" s="11" t="n"/>
      <c r="K190" s="12" t="inlineStr">
        <is>
          <t>NO-NEPAL-LISTING</t>
        </is>
      </c>
      <c r="L190" s="13">
        <f>IF(J190&gt;0,J190,ROUND(P190/(1-M190),-1))</f>
        <v/>
      </c>
      <c r="M190" s="14" t="n">
        <v>0.35</v>
      </c>
      <c r="N190" s="13">
        <f>ROUND(L190*(1-M190),0)</f>
        <v/>
      </c>
      <c r="O190" s="13">
        <f>L190-N190</f>
        <v/>
      </c>
      <c r="P190" s="13">
        <f>IF(H190&gt;0,ROUND(H190*(1-IF(E190="Profit",DIST_FURN,DIST_TOOL))*FX_PEG*LANDED_MULT,0),"")</f>
        <v/>
      </c>
      <c r="Q190" s="8" t="inlineStr">
        <is>
          <t>https://www.ikonicworld.com/products/ikonic-professional-pro-paddle-hair-brush</t>
        </is>
      </c>
      <c r="R190" s="8" t="inlineStr">
        <is>
          <t>Low volume, high attach rate</t>
        </is>
      </c>
      <c r="S190" s="8" t="inlineStr">
        <is>
          <t>Low - rarely searched directly</t>
        </is>
      </c>
      <c r="T190" s="15">
        <f>IF(E190="Profit",1,IF(O190&gt;2500,2,3))</f>
        <v/>
      </c>
      <c r="U190" s="8" t="inlineStr">
        <is>
          <t>Bundle with any dryer; blow-dry technique clip</t>
        </is>
      </c>
      <c r="V190" s="8" t="inlineStr">
        <is>
          <t>No Daraz Nepal listing found. Price set from landed cost + target margin. You set the anchor here.</t>
        </is>
      </c>
      <c r="W190" s="16">
        <f>IFERROR(ROUND(MIN(10,O190/1500)*IF(E190="Profit",1.4,1),2),"")</f>
        <v/>
      </c>
    </row>
    <row r="191" ht="30" customHeight="1">
      <c r="A191" s="10" t="inlineStr">
        <is>
          <t>ETP-187</t>
        </is>
      </c>
      <c r="B191" s="8" t="inlineStr">
        <is>
          <t>Ikonic Professional Supremo Paddle Hair Brush</t>
        </is>
      </c>
      <c r="C191" s="10" t="inlineStr">
        <is>
          <t>Ikonic</t>
        </is>
      </c>
      <c r="D191" s="10" t="inlineStr">
        <is>
          <t>Brushes &amp; Combs</t>
        </is>
      </c>
      <c r="E191" s="10" t="inlineStr">
        <is>
          <t>Attach</t>
        </is>
      </c>
      <c r="F191" s="10" t="inlineStr">
        <is>
          <t>BOTH</t>
        </is>
      </c>
      <c r="G191" s="8" t="inlineStr">
        <is>
          <t>Add-on for every styling-tool buyer</t>
        </is>
      </c>
      <c r="H191" s="11" t="n">
        <v>813</v>
      </c>
      <c r="I191" s="11" t="n">
        <v>1250</v>
      </c>
      <c r="J191" s="11" t="n"/>
      <c r="K191" s="12" t="inlineStr">
        <is>
          <t>NO-NEPAL-LISTING</t>
        </is>
      </c>
      <c r="L191" s="13">
        <f>IF(J191&gt;0,J191,ROUND(P191/(1-M191),-1))</f>
        <v/>
      </c>
      <c r="M191" s="14" t="n">
        <v>0.35</v>
      </c>
      <c r="N191" s="13">
        <f>ROUND(L191*(1-M191),0)</f>
        <v/>
      </c>
      <c r="O191" s="13">
        <f>L191-N191</f>
        <v/>
      </c>
      <c r="P191" s="13">
        <f>IF(H191&gt;0,ROUND(H191*(1-IF(E191="Profit",DIST_FURN,DIST_TOOL))*FX_PEG*LANDED_MULT,0),"")</f>
        <v/>
      </c>
      <c r="Q191" s="8" t="inlineStr">
        <is>
          <t>https://www.ikonicworld.com/products/ikonic-big-paddle-brush-supremo</t>
        </is>
      </c>
      <c r="R191" s="8" t="inlineStr">
        <is>
          <t>Low volume, high attach rate</t>
        </is>
      </c>
      <c r="S191" s="8" t="inlineStr">
        <is>
          <t>Low - rarely searched directly</t>
        </is>
      </c>
      <c r="T191" s="15">
        <f>IF(E191="Profit",1,IF(O191&gt;2500,2,3))</f>
        <v/>
      </c>
      <c r="U191" s="8" t="inlineStr">
        <is>
          <t>Bundle with any dryer; blow-dry technique clip</t>
        </is>
      </c>
      <c r="V191" s="8" t="inlineStr">
        <is>
          <t>No Daraz Nepal listing found. Price set from landed cost + target margin. You set the anchor here.</t>
        </is>
      </c>
      <c r="W191" s="16">
        <f>IFERROR(ROUND(MIN(10,O191/1500)*IF(E191="Profit",1.4,1),2),"")</f>
        <v/>
      </c>
    </row>
    <row r="192" ht="30" customHeight="1">
      <c r="A192" s="10" t="inlineStr">
        <is>
          <t>ETP-188</t>
        </is>
      </c>
      <c r="B192" s="8" t="inlineStr">
        <is>
          <t>Ikonic Professional Ebony Vent Hair Brush</t>
        </is>
      </c>
      <c r="C192" s="10" t="inlineStr">
        <is>
          <t>Ikonic</t>
        </is>
      </c>
      <c r="D192" s="10" t="inlineStr">
        <is>
          <t>Brushes &amp; Combs</t>
        </is>
      </c>
      <c r="E192" s="10" t="inlineStr">
        <is>
          <t>Attach</t>
        </is>
      </c>
      <c r="F192" s="10" t="inlineStr">
        <is>
          <t>BOTH</t>
        </is>
      </c>
      <c r="G192" s="8" t="inlineStr">
        <is>
          <t>Add-on for every styling-tool buyer</t>
        </is>
      </c>
      <c r="H192" s="11" t="n">
        <v>735</v>
      </c>
      <c r="I192" s="11" t="n">
        <v>1050</v>
      </c>
      <c r="J192" s="11" t="n"/>
      <c r="K192" s="12" t="inlineStr">
        <is>
          <t>NO-NEPAL-LISTING</t>
        </is>
      </c>
      <c r="L192" s="13">
        <f>IF(J192&gt;0,J192,ROUND(P192/(1-M192),-1))</f>
        <v/>
      </c>
      <c r="M192" s="14" t="n">
        <v>0.35</v>
      </c>
      <c r="N192" s="13">
        <f>ROUND(L192*(1-M192),0)</f>
        <v/>
      </c>
      <c r="O192" s="13">
        <f>L192-N192</f>
        <v/>
      </c>
      <c r="P192" s="13">
        <f>IF(H192&gt;0,ROUND(H192*(1-IF(E192="Profit",DIST_FURN,DIST_TOOL))*FX_PEG*LANDED_MULT,0),"")</f>
        <v/>
      </c>
      <c r="Q192" s="8" t="inlineStr">
        <is>
          <t>https://www.ikonicworld.com/products/ikonic-professional-vent-hair-brush</t>
        </is>
      </c>
      <c r="R192" s="8" t="inlineStr">
        <is>
          <t>Low volume, high attach rate</t>
        </is>
      </c>
      <c r="S192" s="8" t="inlineStr">
        <is>
          <t>Low - rarely searched directly</t>
        </is>
      </c>
      <c r="T192" s="15">
        <f>IF(E192="Profit",1,IF(O192&gt;2500,2,3))</f>
        <v/>
      </c>
      <c r="U192" s="8" t="inlineStr">
        <is>
          <t>Bundle with any dryer; blow-dry technique clip</t>
        </is>
      </c>
      <c r="V192" s="8" t="inlineStr">
        <is>
          <t>No Daraz Nepal listing found. Price set from landed cost + target margin. You set the anchor here.</t>
        </is>
      </c>
      <c r="W192" s="16">
        <f>IFERROR(ROUND(MIN(10,O192/1500)*IF(E192="Profit",1.4,1),2),"")</f>
        <v/>
      </c>
    </row>
    <row r="193" ht="30" customHeight="1">
      <c r="A193" s="10" t="inlineStr">
        <is>
          <t>ETP-189</t>
        </is>
      </c>
      <c r="B193" s="8" t="inlineStr">
        <is>
          <t>Ikonic Professional Titanium Thermal Hair Brush</t>
        </is>
      </c>
      <c r="C193" s="10" t="inlineStr">
        <is>
          <t>Ikonic</t>
        </is>
      </c>
      <c r="D193" s="10" t="inlineStr">
        <is>
          <t>Brushes &amp; Combs</t>
        </is>
      </c>
      <c r="E193" s="10" t="inlineStr">
        <is>
          <t>Attach</t>
        </is>
      </c>
      <c r="F193" s="10" t="inlineStr">
        <is>
          <t>BOTH</t>
        </is>
      </c>
      <c r="G193" s="8" t="inlineStr">
        <is>
          <t>Add-on for every styling-tool buyer</t>
        </is>
      </c>
      <c r="H193" s="11" t="n">
        <v>705</v>
      </c>
      <c r="I193" s="11" t="n">
        <v>1175</v>
      </c>
      <c r="J193" s="11" t="n"/>
      <c r="K193" s="12" t="inlineStr">
        <is>
          <t>NO-NEPAL-LISTING</t>
        </is>
      </c>
      <c r="L193" s="13">
        <f>IF(J193&gt;0,J193,ROUND(P193/(1-M193),-1))</f>
        <v/>
      </c>
      <c r="M193" s="14" t="n">
        <v>0.35</v>
      </c>
      <c r="N193" s="13">
        <f>ROUND(L193*(1-M193),0)</f>
        <v/>
      </c>
      <c r="O193" s="13">
        <f>L193-N193</f>
        <v/>
      </c>
      <c r="P193" s="13">
        <f>IF(H193&gt;0,ROUND(H193*(1-IF(E193="Profit",DIST_FURN,DIST_TOOL))*FX_PEG*LANDED_MULT,0),"")</f>
        <v/>
      </c>
      <c r="Q193" s="8" t="inlineStr">
        <is>
          <t>https://www.ikonicworld.com/products/ikonic-titanium-line-hair-brush-thb-25</t>
        </is>
      </c>
      <c r="R193" s="8" t="inlineStr">
        <is>
          <t>Low volume, high attach rate</t>
        </is>
      </c>
      <c r="S193" s="8" t="inlineStr">
        <is>
          <t>Low - rarely searched directly</t>
        </is>
      </c>
      <c r="T193" s="15">
        <f>IF(E193="Profit",1,IF(O193&gt;2500,2,3))</f>
        <v/>
      </c>
      <c r="U193" s="8" t="inlineStr">
        <is>
          <t>Bundle with any dryer; blow-dry technique clip</t>
        </is>
      </c>
      <c r="V193" s="8" t="inlineStr">
        <is>
          <t>No Daraz Nepal listing found. Price set from landed cost + target margin. You set the anchor here.</t>
        </is>
      </c>
      <c r="W193" s="16">
        <f>IFERROR(ROUND(MIN(10,O193/1500)*IF(E193="Profit",1.4,1),2),"")</f>
        <v/>
      </c>
    </row>
    <row r="194" ht="30" customHeight="1">
      <c r="A194" s="10" t="inlineStr">
        <is>
          <t>ETP-190</t>
        </is>
      </c>
      <c r="B194" s="8" t="inlineStr">
        <is>
          <t>Ikonic Me Sonic Jet Fan Dust Collector, Grey</t>
        </is>
      </c>
      <c r="C194" s="10" t="inlineStr">
        <is>
          <t>Ikonic</t>
        </is>
      </c>
      <c r="D194" s="10" t="inlineStr">
        <is>
          <t>Accessories</t>
        </is>
      </c>
      <c r="E194" s="10" t="inlineStr">
        <is>
          <t>Attach</t>
        </is>
      </c>
      <c r="F194" s="10" t="inlineStr">
        <is>
          <t>BOTH</t>
        </is>
      </c>
      <c r="G194" s="8" t="inlineStr">
        <is>
          <t>Impulse add-on at checkout</t>
        </is>
      </c>
      <c r="H194" s="11" t="n">
        <v>3283</v>
      </c>
      <c r="I194" s="11" t="n">
        <v>5050</v>
      </c>
      <c r="J194" s="11" t="n"/>
      <c r="K194" s="12" t="inlineStr">
        <is>
          <t>NO-NEPAL-LISTING</t>
        </is>
      </c>
      <c r="L194" s="13">
        <f>IF(J194&gt;0,J194,ROUND(P194/(1-M194),-1))</f>
        <v/>
      </c>
      <c r="M194" s="14" t="n">
        <v>0.35</v>
      </c>
      <c r="N194" s="13">
        <f>ROUND(L194*(1-M194),0)</f>
        <v/>
      </c>
      <c r="O194" s="13">
        <f>L194-N194</f>
        <v/>
      </c>
      <c r="P194" s="13">
        <f>IF(H194&gt;0,ROUND(H194*(1-IF(E194="Profit",DIST_FURN,DIST_TOOL))*FX_PEG*LANDED_MULT,0),"")</f>
        <v/>
      </c>
      <c r="Q194" s="8" t="inlineStr">
        <is>
          <t>https://www.ikonicworld.com/products/ikonic-me-sonic-jet-fan-dust-collector-grey</t>
        </is>
      </c>
      <c r="R194" s="8" t="inlineStr">
        <is>
          <t>Low volume, high attach rate</t>
        </is>
      </c>
      <c r="S194" s="8" t="inlineStr">
        <is>
          <t>Low - rarely searched directly</t>
        </is>
      </c>
      <c r="T194" s="15">
        <f>IF(E194="Profit",1,IF(O194&gt;2500,2,3))</f>
        <v/>
      </c>
      <c r="U194" s="8" t="inlineStr">
        <is>
          <t>Quick tips reel; bundle upsell at checkout</t>
        </is>
      </c>
      <c r="V194" s="8" t="inlineStr">
        <is>
          <t>No Daraz Nepal listing found. Price set from landed cost + target margin. You set the anchor here.</t>
        </is>
      </c>
      <c r="W194" s="16">
        <f>IFERROR(ROUND(MIN(10,O194/1500)*IF(E194="Profit",1.4,1),2),"")</f>
        <v/>
      </c>
    </row>
    <row r="195" ht="30" customHeight="1">
      <c r="A195" s="10" t="inlineStr">
        <is>
          <t>ETP-191</t>
        </is>
      </c>
      <c r="B195" s="8" t="inlineStr">
        <is>
          <t>The Ultimate Blowout &amp; Beauty Kit</t>
        </is>
      </c>
      <c r="C195" s="10" t="inlineStr">
        <is>
          <t>Ikonic</t>
        </is>
      </c>
      <c r="D195" s="10" t="inlineStr">
        <is>
          <t>Accessories</t>
        </is>
      </c>
      <c r="E195" s="10" t="inlineStr">
        <is>
          <t>Attach</t>
        </is>
      </c>
      <c r="F195" s="10" t="inlineStr">
        <is>
          <t>BOTH</t>
        </is>
      </c>
      <c r="G195" s="8" t="inlineStr">
        <is>
          <t>Impulse add-on at checkout</t>
        </is>
      </c>
      <c r="H195" s="11" t="n">
        <v>3118</v>
      </c>
      <c r="I195" s="11" t="n">
        <v>4797</v>
      </c>
      <c r="J195" s="11" t="n"/>
      <c r="K195" s="12" t="inlineStr">
        <is>
          <t>NO-NEPAL-LISTING</t>
        </is>
      </c>
      <c r="L195" s="13">
        <f>IF(J195&gt;0,J195,ROUND(P195/(1-M195),-1))</f>
        <v/>
      </c>
      <c r="M195" s="14" t="n">
        <v>0.35</v>
      </c>
      <c r="N195" s="13">
        <f>ROUND(L195*(1-M195),0)</f>
        <v/>
      </c>
      <c r="O195" s="13">
        <f>L195-N195</f>
        <v/>
      </c>
      <c r="P195" s="13">
        <f>IF(H195&gt;0,ROUND(H195*(1-IF(E195="Profit",DIST_FURN,DIST_TOOL))*FX_PEG*LANDED_MULT,0),"")</f>
        <v/>
      </c>
      <c r="Q195" s="8" t="inlineStr">
        <is>
          <t>https://www.ikonicworld.com/products/the-ultimate-blowout-beauty-kit</t>
        </is>
      </c>
      <c r="R195" s="8" t="inlineStr">
        <is>
          <t>Low volume, high attach rate</t>
        </is>
      </c>
      <c r="S195" s="8" t="inlineStr">
        <is>
          <t>Low - rarely searched directly</t>
        </is>
      </c>
      <c r="T195" s="15">
        <f>IF(E195="Profit",1,IF(O195&gt;2500,2,3))</f>
        <v/>
      </c>
      <c r="U195" s="8" t="inlineStr">
        <is>
          <t>Quick tips reel; bundle upsell at checkout</t>
        </is>
      </c>
      <c r="V195" s="8" t="inlineStr">
        <is>
          <t>No Daraz Nepal listing found. Price set from landed cost + target margin. You set the anchor here.</t>
        </is>
      </c>
      <c r="W195" s="16">
        <f>IFERROR(ROUND(MIN(10,O195/1500)*IF(E195="Profit",1.4,1),2),"")</f>
        <v/>
      </c>
    </row>
    <row r="196" ht="30" customHeight="1">
      <c r="A196" s="10" t="inlineStr">
        <is>
          <t>ETP-192</t>
        </is>
      </c>
      <c r="B196" s="8" t="inlineStr">
        <is>
          <t>Ikonic Hair Dressing Cutting Collar Black</t>
        </is>
      </c>
      <c r="C196" s="10" t="inlineStr">
        <is>
          <t>Ikonic</t>
        </is>
      </c>
      <c r="D196" s="10" t="inlineStr">
        <is>
          <t>Accessories</t>
        </is>
      </c>
      <c r="E196" s="10" t="inlineStr">
        <is>
          <t>Attach</t>
        </is>
      </c>
      <c r="F196" s="10" t="inlineStr">
        <is>
          <t>BOTH</t>
        </is>
      </c>
      <c r="G196" s="8" t="inlineStr">
        <is>
          <t>Impulse add-on at checkout</t>
        </is>
      </c>
      <c r="H196" s="11" t="n">
        <v>1460</v>
      </c>
      <c r="I196" s="11" t="n">
        <v>1825</v>
      </c>
      <c r="J196" s="11" t="n"/>
      <c r="K196" s="12" t="inlineStr">
        <is>
          <t>NO-NEPAL-LISTING</t>
        </is>
      </c>
      <c r="L196" s="13">
        <f>IF(J196&gt;0,J196,ROUND(P196/(1-M196),-1))</f>
        <v/>
      </c>
      <c r="M196" s="14" t="n">
        <v>0.35</v>
      </c>
      <c r="N196" s="13">
        <f>ROUND(L196*(1-M196),0)</f>
        <v/>
      </c>
      <c r="O196" s="13">
        <f>L196-N196</f>
        <v/>
      </c>
      <c r="P196" s="13">
        <f>IF(H196&gt;0,ROUND(H196*(1-IF(E196="Profit",DIST_FURN,DIST_TOOL))*FX_PEG*LANDED_MULT,0),"")</f>
        <v/>
      </c>
      <c r="Q196" s="8" t="inlineStr">
        <is>
          <t>https://www.ikonicworld.com/products/ikonic-hair-dressing-cutting-collar-black</t>
        </is>
      </c>
      <c r="R196" s="8" t="inlineStr">
        <is>
          <t>Low volume, high attach rate</t>
        </is>
      </c>
      <c r="S196" s="8" t="inlineStr">
        <is>
          <t>Low - rarely searched directly</t>
        </is>
      </c>
      <c r="T196" s="15">
        <f>IF(E196="Profit",1,IF(O196&gt;2500,2,3))</f>
        <v/>
      </c>
      <c r="U196" s="8" t="inlineStr">
        <is>
          <t>Quick tips reel; bundle upsell at checkout</t>
        </is>
      </c>
      <c r="V196" s="8" t="inlineStr">
        <is>
          <t>No Daraz Nepal listing found. Price set from landed cost + target margin. You set the anchor here.</t>
        </is>
      </c>
      <c r="W196" s="16">
        <f>IFERROR(ROUND(MIN(10,O196/1500)*IF(E196="Profit",1.4,1),2),"")</f>
        <v/>
      </c>
    </row>
    <row r="197" ht="30" customHeight="1">
      <c r="A197" s="10" t="inlineStr">
        <is>
          <t>ETP-193</t>
        </is>
      </c>
      <c r="B197" s="8" t="inlineStr">
        <is>
          <t>Ikonic Weighing Scale</t>
        </is>
      </c>
      <c r="C197" s="10" t="inlineStr">
        <is>
          <t>Ikonic</t>
        </is>
      </c>
      <c r="D197" s="10" t="inlineStr">
        <is>
          <t>Accessories</t>
        </is>
      </c>
      <c r="E197" s="10" t="inlineStr">
        <is>
          <t>Attach</t>
        </is>
      </c>
      <c r="F197" s="10" t="inlineStr">
        <is>
          <t>BOTH</t>
        </is>
      </c>
      <c r="G197" s="8" t="inlineStr">
        <is>
          <t>Impulse add-on at checkout</t>
        </is>
      </c>
      <c r="H197" s="11" t="n">
        <v>1453</v>
      </c>
      <c r="I197" s="11" t="n">
        <v>2075</v>
      </c>
      <c r="J197" s="11" t="n"/>
      <c r="K197" s="12" t="inlineStr">
        <is>
          <t>NO-NEPAL-LISTING</t>
        </is>
      </c>
      <c r="L197" s="13">
        <f>IF(J197&gt;0,J197,ROUND(P197/(1-M197),-1))</f>
        <v/>
      </c>
      <c r="M197" s="14" t="n">
        <v>0.35</v>
      </c>
      <c r="N197" s="13">
        <f>ROUND(L197*(1-M197),0)</f>
        <v/>
      </c>
      <c r="O197" s="13">
        <f>L197-N197</f>
        <v/>
      </c>
      <c r="P197" s="13">
        <f>IF(H197&gt;0,ROUND(H197*(1-IF(E197="Profit",DIST_FURN,DIST_TOOL))*FX_PEG*LANDED_MULT,0),"")</f>
        <v/>
      </c>
      <c r="Q197" s="8" t="inlineStr">
        <is>
          <t>https://www.ikonicworld.com/products/ikonic-weighing-scale</t>
        </is>
      </c>
      <c r="R197" s="8" t="inlineStr">
        <is>
          <t>Low volume, high attach rate</t>
        </is>
      </c>
      <c r="S197" s="8" t="inlineStr">
        <is>
          <t>Low - rarely searched directly</t>
        </is>
      </c>
      <c r="T197" s="15">
        <f>IF(E197="Profit",1,IF(O197&gt;2500,2,3))</f>
        <v/>
      </c>
      <c r="U197" s="8" t="inlineStr">
        <is>
          <t>Quick tips reel; bundle upsell at checkout</t>
        </is>
      </c>
      <c r="V197" s="8" t="inlineStr">
        <is>
          <t>No Daraz Nepal listing found. Price set from landed cost + target margin. You set the anchor here.</t>
        </is>
      </c>
      <c r="W197" s="16">
        <f>IFERROR(ROUND(MIN(10,O197/1500)*IF(E197="Profit",1.4,1),2),"")</f>
        <v/>
      </c>
    </row>
    <row r="198" ht="30" customHeight="1">
      <c r="A198" s="10" t="inlineStr">
        <is>
          <t>ETP-194</t>
        </is>
      </c>
      <c r="B198" s="8" t="inlineStr">
        <is>
          <t>Ikonic Zen Relaxing Scalp Massager</t>
        </is>
      </c>
      <c r="C198" s="10" t="inlineStr">
        <is>
          <t>Ikonic</t>
        </is>
      </c>
      <c r="D198" s="10" t="inlineStr">
        <is>
          <t>Accessories</t>
        </is>
      </c>
      <c r="E198" s="10" t="inlineStr">
        <is>
          <t>Attach</t>
        </is>
      </c>
      <c r="F198" s="10" t="inlineStr">
        <is>
          <t>BOTH</t>
        </is>
      </c>
      <c r="G198" s="8" t="inlineStr">
        <is>
          <t>Impulse add-on at checkout</t>
        </is>
      </c>
      <c r="H198" s="11" t="n">
        <v>1210</v>
      </c>
      <c r="I198" s="11" t="n">
        <v>2200</v>
      </c>
      <c r="J198" s="11" t="n"/>
      <c r="K198" s="12" t="inlineStr">
        <is>
          <t>NO-NEPAL-LISTING</t>
        </is>
      </c>
      <c r="L198" s="13">
        <f>IF(J198&gt;0,J198,ROUND(P198/(1-M198),-1))</f>
        <v/>
      </c>
      <c r="M198" s="14" t="n">
        <v>0.35</v>
      </c>
      <c r="N198" s="13">
        <f>ROUND(L198*(1-M198),0)</f>
        <v/>
      </c>
      <c r="O198" s="13">
        <f>L198-N198</f>
        <v/>
      </c>
      <c r="P198" s="13">
        <f>IF(H198&gt;0,ROUND(H198*(1-IF(E198="Profit",DIST_FURN,DIST_TOOL))*FX_PEG*LANDED_MULT,0),"")</f>
        <v/>
      </c>
      <c r="Q198" s="8" t="inlineStr">
        <is>
          <t>https://www.ikonicworld.com/products/ikonic-zen-relaxing-scalp-massager</t>
        </is>
      </c>
      <c r="R198" s="8" t="inlineStr">
        <is>
          <t>Low volume, high attach rate</t>
        </is>
      </c>
      <c r="S198" s="8" t="inlineStr">
        <is>
          <t>Low - rarely searched directly</t>
        </is>
      </c>
      <c r="T198" s="15">
        <f>IF(E198="Profit",1,IF(O198&gt;2500,2,3))</f>
        <v/>
      </c>
      <c r="U198" s="8" t="inlineStr">
        <is>
          <t>Quick tips reel; bundle upsell at checkout</t>
        </is>
      </c>
      <c r="V198" s="8" t="inlineStr">
        <is>
          <t>No Daraz Nepal listing found. Price set from landed cost + target margin. You set the anchor here.</t>
        </is>
      </c>
      <c r="W198" s="16">
        <f>IFERROR(ROUND(MIN(10,O198/1500)*IF(E198="Profit",1.4,1),2),"")</f>
        <v/>
      </c>
    </row>
    <row r="199" ht="30" customHeight="1">
      <c r="A199" s="10" t="inlineStr">
        <is>
          <t>ETP-195</t>
        </is>
      </c>
      <c r="B199" s="8" t="inlineStr">
        <is>
          <t>Hair Colour Master Tint Bowl Set Mix</t>
        </is>
      </c>
      <c r="C199" s="10" t="inlineStr">
        <is>
          <t>Ikonic</t>
        </is>
      </c>
      <c r="D199" s="10" t="inlineStr">
        <is>
          <t>Accessories</t>
        </is>
      </c>
      <c r="E199" s="10" t="inlineStr">
        <is>
          <t>Attach</t>
        </is>
      </c>
      <c r="F199" s="10" t="inlineStr">
        <is>
          <t>BOTH</t>
        </is>
      </c>
      <c r="G199" s="8" t="inlineStr">
        <is>
          <t>Impulse add-on at checkout</t>
        </is>
      </c>
      <c r="H199" s="11" t="n">
        <v>919</v>
      </c>
      <c r="I199" s="11" t="n">
        <v>1225</v>
      </c>
      <c r="J199" s="11" t="n"/>
      <c r="K199" s="12" t="inlineStr">
        <is>
          <t>NO-NEPAL-LISTING</t>
        </is>
      </c>
      <c r="L199" s="13">
        <f>IF(J199&gt;0,J199,ROUND(P199/(1-M199),-1))</f>
        <v/>
      </c>
      <c r="M199" s="14" t="n">
        <v>0.35</v>
      </c>
      <c r="N199" s="13">
        <f>ROUND(L199*(1-M199),0)</f>
        <v/>
      </c>
      <c r="O199" s="13">
        <f>L199-N199</f>
        <v/>
      </c>
      <c r="P199" s="13">
        <f>IF(H199&gt;0,ROUND(H199*(1-IF(E199="Profit",DIST_FURN,DIST_TOOL))*FX_PEG*LANDED_MULT,0),"")</f>
        <v/>
      </c>
      <c r="Q199" s="8" t="inlineStr">
        <is>
          <t>https://www.ikonicworld.com/products/hair-colour-master-tint-bowl-set-mix</t>
        </is>
      </c>
      <c r="R199" s="8" t="inlineStr">
        <is>
          <t>Low volume, high attach rate</t>
        </is>
      </c>
      <c r="S199" s="8" t="inlineStr">
        <is>
          <t>Low - rarely searched directly</t>
        </is>
      </c>
      <c r="T199" s="15">
        <f>IF(E199="Profit",1,IF(O199&gt;2500,2,3))</f>
        <v/>
      </c>
      <c r="U199" s="8" t="inlineStr">
        <is>
          <t>Quick tips reel; bundle upsell at checkout</t>
        </is>
      </c>
      <c r="V199" s="8" t="inlineStr">
        <is>
          <t>No Daraz Nepal listing found. Price set from landed cost + target margin. You set the anchor here.</t>
        </is>
      </c>
      <c r="W199" s="16">
        <f>IFERROR(ROUND(MIN(10,O199/1500)*IF(E199="Profit",1.4,1),2),"")</f>
        <v/>
      </c>
    </row>
    <row r="200" ht="30" customHeight="1">
      <c r="A200" s="10" t="inlineStr">
        <is>
          <t>ETP-196</t>
        </is>
      </c>
      <c r="B200" s="8" t="inlineStr">
        <is>
          <t>Ikonic Color Master Tube Squeezer</t>
        </is>
      </c>
      <c r="C200" s="10" t="inlineStr">
        <is>
          <t>Ikonic</t>
        </is>
      </c>
      <c r="D200" s="10" t="inlineStr">
        <is>
          <t>Accessories</t>
        </is>
      </c>
      <c r="E200" s="10" t="inlineStr">
        <is>
          <t>Attach</t>
        </is>
      </c>
      <c r="F200" s="10" t="inlineStr">
        <is>
          <t>BOTH</t>
        </is>
      </c>
      <c r="G200" s="8" t="inlineStr">
        <is>
          <t>Impulse add-on at checkout</t>
        </is>
      </c>
      <c r="H200" s="11" t="n">
        <v>840</v>
      </c>
      <c r="I200" s="11" t="n">
        <v>1200</v>
      </c>
      <c r="J200" s="11" t="n"/>
      <c r="K200" s="12" t="inlineStr">
        <is>
          <t>NO-NEPAL-LISTING</t>
        </is>
      </c>
      <c r="L200" s="13">
        <f>IF(J200&gt;0,J200,ROUND(P200/(1-M200),-1))</f>
        <v/>
      </c>
      <c r="M200" s="14" t="n">
        <v>0.35</v>
      </c>
      <c r="N200" s="13">
        <f>ROUND(L200*(1-M200),0)</f>
        <v/>
      </c>
      <c r="O200" s="13">
        <f>L200-N200</f>
        <v/>
      </c>
      <c r="P200" s="13">
        <f>IF(H200&gt;0,ROUND(H200*(1-IF(E200="Profit",DIST_FURN,DIST_TOOL))*FX_PEG*LANDED_MULT,0),"")</f>
        <v/>
      </c>
      <c r="Q200" s="8" t="inlineStr">
        <is>
          <t>https://www.ikonicworld.com/products/ikonic-color-master-tube-squeezer</t>
        </is>
      </c>
      <c r="R200" s="8" t="inlineStr">
        <is>
          <t>Low volume, high attach rate</t>
        </is>
      </c>
      <c r="S200" s="8" t="inlineStr">
        <is>
          <t>Low - rarely searched directly</t>
        </is>
      </c>
      <c r="T200" s="15">
        <f>IF(E200="Profit",1,IF(O200&gt;2500,2,3))</f>
        <v/>
      </c>
      <c r="U200" s="8" t="inlineStr">
        <is>
          <t>Quick tips reel; bundle upsell at checkout</t>
        </is>
      </c>
      <c r="V200" s="8" t="inlineStr">
        <is>
          <t>No Daraz Nepal listing found. Price set from landed cost + target margin. You set the anchor here.</t>
        </is>
      </c>
      <c r="W200" s="16">
        <f>IFERROR(ROUND(MIN(10,O200/1500)*IF(E200="Profit",1.4,1),2),"")</f>
        <v/>
      </c>
    </row>
    <row r="201" ht="30" customHeight="1">
      <c r="A201" s="10" t="inlineStr">
        <is>
          <t>ETP-197</t>
        </is>
      </c>
      <c r="B201" s="8" t="inlineStr">
        <is>
          <t>Qween - full range PENDING</t>
        </is>
      </c>
      <c r="C201" s="10" t="inlineStr">
        <is>
          <t>Qween</t>
        </is>
      </c>
      <c r="D201" s="10" t="inlineStr">
        <is>
          <t>Colour Cosmetics - Lipstick</t>
        </is>
      </c>
      <c r="E201" s="10" t="inlineStr">
        <is>
          <t>Profit</t>
        </is>
      </c>
      <c r="F201" s="10" t="inlineStr">
        <is>
          <t>BOTH</t>
        </is>
      </c>
      <c r="G201" s="8" t="inlineStr">
        <is>
          <t>Retail beauty buyer + parlour resale</t>
        </is>
      </c>
      <c r="K201" s="17" t="inlineStr">
        <is>
          <t>NEEDS-SUPPLIER-INPUT</t>
        </is>
      </c>
      <c r="M201" s="14" t="n">
        <v>0.45</v>
      </c>
      <c r="V201" s="8" t="inlineStr">
        <is>
          <t>Zero Daraz Nepal presence: a search for "qween" returns unrelated Queen-branded watches and jewellery. Whitespace category, but needs your supplier list to price.</t>
        </is>
      </c>
    </row>
  </sheetData>
  <autoFilter ref="A4:W201"/>
  <dataValidations count="1">
    <dataValidation sqref="K5:K201" showDropDown="0" showInputMessage="0" showErrorMessage="0" allowBlank="1" type="list">
      <formula1>"VERIFIED,LIKELY-MATCH,NO-NEPAL-LISTING,INDIA-TRADE-PRICE,CONFIRM-BRAND,NEEDS-SUPPLIER-INPUT"</formula1>
    </dataValidation>
  </dataValidations>
  <pageMargins left="0.75" right="0.75" top="1" bottom="1" header="0.5" footer="0.5"/>
</worksheet>
</file>

<file path=xl/worksheets/sheet3.xml><?xml version="1.0" encoding="utf-8"?>
<worksheet xmlns="http://schemas.openxmlformats.org/spreadsheetml/2006/main">
  <sheetPr>
    <tabColor rgb="FFB8860B"/>
    <outlinePr summaryBelow="1" summaryRight="1"/>
    <pageSetUpPr/>
  </sheetPr>
  <dimension ref="A1:C71"/>
  <sheetViews>
    <sheetView workbookViewId="0">
      <selection activeCell="A1" sqref="A1"/>
    </sheetView>
  </sheetViews>
  <sheetFormatPr baseColWidth="8" defaultRowHeight="15"/>
  <cols>
    <col width="42" customWidth="1" min="1" max="1"/>
    <col width="14" customWidth="1" min="2" max="2"/>
    <col width="90" customWidth="1" min="3" max="3"/>
  </cols>
  <sheetData>
    <row r="1" ht="24" customHeight="1">
      <c r="A1" s="1" t="inlineStr">
        <is>
          <t>UNIT ECONOMICS CALCULATOR - NPR</t>
        </is>
      </c>
    </row>
    <row r="2" ht="15.75" customHeight="1">
      <c r="A2" s="2" t="inlineStr">
        <is>
          <t>Blue cells are inputs: change them. Grey cells are formulas. Green cells are the answer. Five scenarios covering both sides of the business.</t>
        </is>
      </c>
    </row>
    <row r="4">
      <c r="A4" s="3" t="inlineStr">
        <is>
          <t>SHARED ASSUMPTIONS (every scenario below reads these)</t>
        </is>
      </c>
    </row>
    <row r="5" ht="26" customHeight="1">
      <c r="A5" s="8" t="inlineStr">
        <is>
          <t>NPR per INR (FX peg)</t>
        </is>
      </c>
      <c r="B5" s="18" t="n">
        <v>1.6</v>
      </c>
      <c r="C5" s="4" t="inlineStr">
        <is>
          <t>Nepal pegs the rupee to the Indian rupee at 1.6. Fixed since 1993, but confirm on the Nepal Rastra Bank rate sheet before a large order.</t>
        </is>
      </c>
    </row>
    <row r="6" ht="26" customHeight="1">
      <c r="A6" s="8" t="inlineStr">
        <is>
          <t>Landed multiplier (India -&gt; KTM)</t>
        </is>
      </c>
      <c r="B6" s="18" t="n">
        <v>1.32</v>
      </c>
      <c r="C6" s="4" t="inlineStr">
        <is>
          <t>All-in uplift on India ex-works: freight, duty after SAFTA, clearing, docs. PLACEHOLDER - Scenario E computes the real one from your invoice.</t>
        </is>
      </c>
    </row>
    <row r="7" ht="26" customHeight="1">
      <c r="A7" s="8" t="inlineStr">
        <is>
          <t>Customs duty rate</t>
        </is>
      </c>
      <c r="B7" s="18" t="n">
        <v>0.15</v>
      </c>
      <c r="C7" s="4" t="inlineStr">
        <is>
          <t>PLACEHOLDER. Duty is per HS line and changes with the annual budget. Get the exact rate for your HS codes from your clearing agent.</t>
        </is>
      </c>
    </row>
    <row r="8" ht="26" customHeight="1">
      <c r="A8" s="8" t="inlineStr">
        <is>
          <t>VAT rate</t>
        </is>
      </c>
      <c r="B8" s="18" t="n">
        <v>0.13</v>
      </c>
      <c r="C8" s="4" t="inlineStr">
        <is>
          <t>Nepal VAT. Charged on CIF + duty. Recoverable as input VAT ONLY if you are VAT registered.</t>
        </is>
      </c>
    </row>
    <row r="9" ht="26" customHeight="1">
      <c r="A9" s="8" t="inlineStr">
        <is>
          <t>VAT registered?  (1 = yes)</t>
        </is>
      </c>
      <c r="B9" s="18" t="n">
        <v>1</v>
      </c>
      <c r="C9" s="4" t="inlineStr">
        <is>
          <t>If 1, VAT is a pass-through and not a cost. If 0, it is pure margin loss.</t>
        </is>
      </c>
    </row>
    <row r="10" ht="26" customHeight="1">
      <c r="A10" s="8" t="inlineStr">
        <is>
          <t>Inland freight per unit (KTM)</t>
        </is>
      </c>
      <c r="B10" s="18" t="n">
        <v>250</v>
      </c>
      <c r="C10" s="4" t="inlineStr">
        <is>
          <t>Border to your warehouse, per unit, averaged.</t>
        </is>
      </c>
    </row>
    <row r="11" ht="26" customHeight="1">
      <c r="A11" s="8" t="inlineStr">
        <is>
          <t>Distributor discount off India list (tools)</t>
        </is>
      </c>
      <c r="B11" s="18" t="n">
        <v>0.25</v>
      </c>
      <c r="C11" s="4" t="inlineStr">
        <is>
          <t>You buy below the ikonicworld.com list price. This 25% is DERIVED, not quoted: it is the discount implied by your own stated 25-30% margin on the verified Daraz prices. Replace with your real terms.</t>
        </is>
      </c>
    </row>
    <row r="12" ht="26" customHeight="1">
      <c r="A12" s="8" t="inlineStr">
        <is>
          <t>Distributor discount off India list (furniture)</t>
        </is>
      </c>
      <c r="B12" s="18" t="n">
        <v>0.45</v>
      </c>
      <c r="C12" s="4" t="inlineStr">
        <is>
          <t>Furniture normally carries a deeper distributor discount than small appliances. PLACEHOLDER - Scenario C shows the discount you actually need to hit your stated &gt;50% margin.</t>
        </is>
      </c>
    </row>
    <row r="14">
      <c r="A14" s="3" t="inlineStr">
        <is>
          <t>SCENARIO A - D2C ON YOUR OWN SITE, CASH ON DELIVERY (Ikonic Gleam 3.0)</t>
        </is>
      </c>
    </row>
    <row r="15" ht="26" customHeight="1">
      <c r="A15" s="8" t="inlineStr">
        <is>
          <t>Selling price</t>
        </is>
      </c>
      <c r="B15" s="18" t="n">
        <v>12920</v>
      </c>
      <c r="C15" s="4" t="inlineStr">
        <is>
          <t>Matches the verified Daraz listing, so you are not undercutting your own anchor.</t>
        </is>
      </c>
    </row>
    <row r="16" ht="26" customHeight="1">
      <c r="A16" s="8" t="inlineStr">
        <is>
          <t>India list price (INR)</t>
        </is>
      </c>
      <c r="B16" s="18" t="n">
        <v>5950</v>
      </c>
      <c r="C16" s="4" t="inlineStr">
        <is>
          <t>Verified on the Ikonic India catalogue.</t>
        </is>
      </c>
    </row>
    <row r="17" ht="26" customHeight="1">
      <c r="A17" s="8" t="inlineStr">
        <is>
          <t>Your buy price (INR)</t>
        </is>
      </c>
      <c r="B17" s="13">
        <f>ROUND(B16*(1-B11),0)</f>
        <v/>
      </c>
      <c r="C17" s="4" t="inlineStr">
        <is>
          <t>India list less your distributor discount.</t>
        </is>
      </c>
    </row>
    <row r="18" ht="26" customHeight="1">
      <c r="A18" s="8" t="inlineStr">
        <is>
          <t>Landed cost (NPR)</t>
        </is>
      </c>
      <c r="B18" s="13">
        <f>ROUND(B17*B5*B6,0)</f>
        <v/>
      </c>
      <c r="C18" s="4" t="inlineStr">
        <is>
          <t>Buy price x FX peg x landed multiplier.</t>
        </is>
      </c>
    </row>
    <row r="19" ht="26" customHeight="1">
      <c r="A19" s="8" t="inlineStr">
        <is>
          <t>Gross margin at this price</t>
        </is>
      </c>
      <c r="B19" s="19">
        <f>IFERROR((B15-B18)/B15,0)</f>
        <v/>
      </c>
      <c r="C19" s="4" t="inlineStr">
        <is>
          <t>Cross-check: this should land in the 25-30% band you quoted. If it does not, the distributor discount or the landed multiplier is wrong.</t>
        </is>
      </c>
    </row>
    <row r="20" ht="26" customHeight="1">
      <c r="A20" s="8" t="inlineStr">
        <is>
          <t>Packaging + insert card</t>
        </is>
      </c>
      <c r="B20" s="18" t="n">
        <v>120</v>
      </c>
      <c r="C20" s="4" t="inlineStr">
        <is>
          <t>Box, bubble wrap, warranty card, thank-you insert.</t>
        </is>
      </c>
    </row>
    <row r="21" ht="26" customHeight="1">
      <c r="A21" s="8" t="inlineStr">
        <is>
          <t>Delivery cost (inside valley)</t>
        </is>
      </c>
      <c r="B21" s="18" t="n">
        <v>150</v>
      </c>
      <c r="C21" s="4" t="inlineStr">
        <is>
          <t>Pathao / in-house rider, Kathmandu valley.</t>
        </is>
      </c>
    </row>
    <row r="22" ht="26" customHeight="1">
      <c r="A22" s="8" t="inlineStr">
        <is>
          <t>COD return rate</t>
        </is>
      </c>
      <c r="B22" s="18" t="n">
        <v>0.12</v>
      </c>
      <c r="C22" s="4" t="inlineStr">
        <is>
          <t>Share of COD orders refused at the door. The silent killer of Nepali D2C.</t>
        </is>
      </c>
    </row>
    <row r="23" ht="26" customHeight="1">
      <c r="A23" s="8" t="inlineStr">
        <is>
          <t>Cost of refused orders (per delivered unit)</t>
        </is>
      </c>
      <c r="B23" s="13">
        <f>ROUND((B18*0+B21*2)*B22/(1-B22),0)</f>
        <v/>
      </c>
      <c r="C23" s="4" t="inlineStr">
        <is>
          <t>Refused orders cost you delivery both ways and return no revenue. Spread across the units that DO deliver.</t>
        </is>
      </c>
    </row>
    <row r="24" ht="26" customHeight="1">
      <c r="A24" s="8" t="inlineStr">
        <is>
          <t>COD collection fee</t>
        </is>
      </c>
      <c r="B24" s="18" t="n">
        <v>0.02</v>
      </c>
      <c r="C24" s="4" t="inlineStr">
        <is>
          <t>Courier fee for handling cash.</t>
        </is>
      </c>
    </row>
    <row r="25" ht="26" customHeight="1">
      <c r="A25" s="8" t="inlineStr">
        <is>
          <t>Total cost per delivered unit</t>
        </is>
      </c>
      <c r="B25" s="13">
        <f>ROUND(B18+B20+B21+B23+B15*B24,0)</f>
        <v/>
      </c>
      <c r="C25" s="4" t="inlineStr"/>
    </row>
    <row r="26" ht="26" customHeight="1">
      <c r="A26" s="5" t="inlineStr">
        <is>
          <t>NET PROFIT per unit</t>
        </is>
      </c>
      <c r="B26" s="20">
        <f>ROUND(B15-B25,0)</f>
        <v/>
      </c>
      <c r="C26" s="4" t="inlineStr"/>
    </row>
    <row r="27" ht="26" customHeight="1">
      <c r="A27" s="8" t="inlineStr">
        <is>
          <t>Net margin</t>
        </is>
      </c>
      <c r="B27" s="19">
        <f>IFERROR(B26/B15,0)</f>
        <v/>
      </c>
      <c r="C27" s="4" t="inlineStr"/>
    </row>
    <row r="29">
      <c r="A29" s="3" t="inlineStr">
        <is>
          <t>SCENARIO B - SAME UNIT SOLD THROUGH DARAZ</t>
        </is>
      </c>
    </row>
    <row r="30" ht="26" customHeight="1">
      <c r="A30" s="8" t="inlineStr">
        <is>
          <t>Selling price</t>
        </is>
      </c>
      <c r="B30" s="13">
        <f>B15</f>
        <v/>
      </c>
      <c r="C30" s="4" t="inlineStr">
        <is>
          <t>Same price, so the comparison is like for like.</t>
        </is>
      </c>
    </row>
    <row r="31" ht="26" customHeight="1">
      <c r="A31" s="8" t="inlineStr">
        <is>
          <t>Landed cost</t>
        </is>
      </c>
      <c r="B31" s="13">
        <f>B18</f>
        <v/>
      </c>
      <c r="C31" s="4" t="inlineStr"/>
    </row>
    <row r="32" ht="26" customHeight="1">
      <c r="A32" s="8" t="inlineStr">
        <is>
          <t>Daraz commission</t>
        </is>
      </c>
      <c r="B32" s="18" t="n">
        <v>0.06</v>
      </c>
      <c r="C32" s="4" t="inlineStr">
        <is>
          <t>Appliances band. Confirm your exact rate in your seller dashboard.</t>
        </is>
      </c>
    </row>
    <row r="33" ht="26" customHeight="1">
      <c r="A33" s="8" t="inlineStr">
        <is>
          <t>Daraz payment handling</t>
        </is>
      </c>
      <c r="B33" s="18" t="n">
        <v>0.0125</v>
      </c>
      <c r="C33" s="4" t="inlineStr">
        <is>
          <t>Charged on payout to your bank.</t>
        </is>
      </c>
    </row>
    <row r="34" ht="26" customHeight="1">
      <c r="A34" s="8" t="inlineStr">
        <is>
          <t>Packaging + inbound to Daraz</t>
        </is>
      </c>
      <c r="B34" s="13">
        <f>B20+80</f>
        <v/>
      </c>
      <c r="C34" s="4" t="inlineStr"/>
    </row>
    <row r="35" ht="26" customHeight="1">
      <c r="A35" s="8" t="inlineStr">
        <is>
          <t>Total cost per unit</t>
        </is>
      </c>
      <c r="B35" s="13">
        <f>ROUND(B31+B34+B30*(B32+B33),0)</f>
        <v/>
      </c>
      <c r="C35" s="4" t="inlineStr"/>
    </row>
    <row r="36" ht="26" customHeight="1">
      <c r="A36" s="5" t="inlineStr">
        <is>
          <t>NET PROFIT per unit</t>
        </is>
      </c>
      <c r="B36" s="20">
        <f>ROUND(B30-B35,0)</f>
        <v/>
      </c>
      <c r="C36" s="4" t="inlineStr"/>
    </row>
    <row r="37" ht="26" customHeight="1">
      <c r="A37" s="8" t="inlineStr">
        <is>
          <t>Net margin</t>
        </is>
      </c>
      <c r="B37" s="19">
        <f>IFERROR(B36/B30,0)</f>
        <v/>
      </c>
      <c r="C37" s="4" t="inlineStr"/>
    </row>
    <row r="38" ht="26" customHeight="1">
      <c r="A38" s="5" t="inlineStr">
        <is>
          <t>WHAT OWNING THE CHECKOUT IS WORTH</t>
        </is>
      </c>
      <c r="B38" s="20">
        <f>ROUND(B26-B36,0)</f>
        <v/>
      </c>
      <c r="C38" s="4" t="inlineStr">
        <is>
          <t>Scenario A minus Scenario B, per unit. Multiply by monthly volume to see what your own site is worth per month.</t>
        </is>
      </c>
    </row>
    <row r="40">
      <c r="A40" s="3" t="inlineStr">
        <is>
          <t>SCENARIO C - B2B SALON FURNITURE (Ikonic Barber Chair Felix)</t>
        </is>
      </c>
    </row>
    <row r="41" ht="26" customHeight="1">
      <c r="A41" s="8" t="inlineStr">
        <is>
          <t>India list price (INR)</t>
        </is>
      </c>
      <c r="B41" s="18" t="n">
        <v>84000</v>
      </c>
      <c r="C41" s="4" t="inlineStr">
        <is>
          <t>Verified on the Ikonic India catalogue. MRP there is INR 105,000.</t>
        </is>
      </c>
    </row>
    <row r="42" ht="26" customHeight="1">
      <c r="A42" s="8" t="inlineStr">
        <is>
          <t>Your buy price (INR)</t>
        </is>
      </c>
      <c r="B42" s="13">
        <f>ROUND(B41*(1-B12),0)</f>
        <v/>
      </c>
      <c r="C42" s="4" t="inlineStr">
        <is>
          <t>India list less the furniture distributor discount.</t>
        </is>
      </c>
    </row>
    <row r="43" ht="26" customHeight="1">
      <c r="A43" s="8" t="inlineStr">
        <is>
          <t>Landed cost (NPR)</t>
        </is>
      </c>
      <c r="B43" s="13">
        <f>ROUND(B42*B5*B6,0)</f>
        <v/>
      </c>
      <c r="C43" s="4" t="inlineStr"/>
    </row>
    <row r="44" ht="26" customHeight="1">
      <c r="A44" s="8" t="inlineStr">
        <is>
          <t>Delivery + installation</t>
        </is>
      </c>
      <c r="B44" s="18" t="n">
        <v>3500</v>
      </c>
      <c r="C44" s="4" t="inlineStr">
        <is>
          <t>Freight to the salon plus fitting. Bundling it free closes deals; discounting price does not.</t>
        </is>
      </c>
    </row>
    <row r="45" ht="26" customHeight="1">
      <c r="A45" s="8" t="inlineStr">
        <is>
          <t>Your selling price</t>
        </is>
      </c>
      <c r="B45" s="18" t="n">
        <v>195000</v>
      </c>
      <c r="C45" s="4" t="inlineStr">
        <is>
          <t>No Daraz listing exists for professional barber chairs, so you set the anchor.</t>
        </is>
      </c>
    </row>
    <row r="46" ht="26" customHeight="1">
      <c r="A46" s="8" t="inlineStr">
        <is>
          <t>Total cost</t>
        </is>
      </c>
      <c r="B46" s="13">
        <f>ROUND(B43+B44,0)</f>
        <v/>
      </c>
      <c r="C46" s="4" t="inlineStr"/>
    </row>
    <row r="47" ht="26" customHeight="1">
      <c r="A47" s="5" t="inlineStr">
        <is>
          <t>NET PROFIT per chair</t>
        </is>
      </c>
      <c r="B47" s="20">
        <f>ROUND(B45-B46,0)</f>
        <v/>
      </c>
      <c r="C47" s="4" t="inlineStr"/>
    </row>
    <row r="48" ht="26" customHeight="1">
      <c r="A48" s="8" t="inlineStr">
        <is>
          <t>Net margin</t>
        </is>
      </c>
      <c r="B48" s="19">
        <f>IFERROR(B47/B45,0)</f>
        <v/>
      </c>
      <c r="C48" s="4" t="inlineStr">
        <is>
          <t>This is the line that pays for the whole business.</t>
        </is>
      </c>
    </row>
    <row r="49" ht="26" customHeight="1">
      <c r="A49" s="5" t="inlineStr">
        <is>
          <t>Profit on a 6-chair salon fit-out</t>
        </is>
      </c>
      <c r="B49" s="20">
        <f>ROUND(B47*6,0)</f>
        <v/>
      </c>
      <c r="C49" s="4" t="inlineStr"/>
    </row>
    <row r="50" ht="26" customHeight="1">
      <c r="A50" s="5" t="inlineStr">
        <is>
          <t>Straighteners needed to equal it</t>
        </is>
      </c>
      <c r="B50" s="20">
        <f>IFERROR(ROUND(B49/B26,0),"")</f>
        <v/>
      </c>
      <c r="C50" s="4" t="inlineStr">
        <is>
          <t>The number that should decide where your selling time goes.</t>
        </is>
      </c>
    </row>
    <row r="51" ht="26" customHeight="1">
      <c r="A51" s="5" t="inlineStr">
        <is>
          <t>Discount you need for a 50% margin</t>
        </is>
      </c>
      <c r="B51" s="20">
        <f>IFERROR(ROUND(1-((B45*0.5)-B44)/(B41*B5*B6),3),"")</f>
        <v/>
      </c>
      <c r="C51" s="4" t="inlineStr">
        <is>
          <t>You said furniture runs over 50%. This is the distributor discount that would deliver exactly 50% at your current selling price. If your real discount beats it, your margin is better than 50%.</t>
        </is>
      </c>
    </row>
    <row r="53">
      <c r="A53" s="3" t="inlineStr">
        <is>
          <t>SCENARIO D - 7-IN-1 HYDRAFACIAL MACHINE (capital equipment)</t>
        </is>
      </c>
    </row>
    <row r="54" ht="26" customHeight="1">
      <c r="A54" s="8" t="inlineStr">
        <is>
          <t>India FOB (INR)</t>
        </is>
      </c>
      <c r="B54" s="18" t="n">
        <v>0</v>
      </c>
      <c r="C54" s="4" t="inlineStr">
        <is>
          <t>ENTER YOUR REAL FIGURE. You named this product but no verified India price was found.</t>
        </is>
      </c>
    </row>
    <row r="55" ht="26" customHeight="1">
      <c r="A55" s="8" t="inlineStr">
        <is>
          <t>Landed cost (NPR)</t>
        </is>
      </c>
      <c r="B55" s="13">
        <f>IF(B54&gt;0,ROUND(B54*B5*B6,0),"enter FOB above")</f>
        <v/>
      </c>
      <c r="C55" s="4" t="inlineStr"/>
    </row>
    <row r="56" ht="26" customHeight="1">
      <c r="A56" s="8" t="inlineStr">
        <is>
          <t>Your selling price</t>
        </is>
      </c>
      <c r="B56" s="18" t="n">
        <v>0</v>
      </c>
      <c r="C56" s="4" t="inlineStr">
        <is>
          <t>ENTER. No Nepal marketplace comparison exists at professional grade.</t>
        </is>
      </c>
    </row>
    <row r="57" ht="26" customHeight="1">
      <c r="A57" s="8" t="inlineStr">
        <is>
          <t>Demo / trial cost per deal</t>
        </is>
      </c>
      <c r="B57" s="18" t="n">
        <v>4000</v>
      </c>
      <c r="C57" s="4" t="inlineStr">
        <is>
          <t>Taking the machine to the salon for a live demo. Budget it: it is what closes.</t>
        </is>
      </c>
    </row>
    <row r="58" ht="26" customHeight="1">
      <c r="A58" s="5" t="inlineStr">
        <is>
          <t>NET PROFIT per machine</t>
        </is>
      </c>
      <c r="B58" s="20">
        <f>IF(AND(B54&gt;0,B56&gt;0),ROUND(B56-B55-B57,0),"enter FOB + price")</f>
        <v/>
      </c>
      <c r="C58" s="4" t="inlineStr"/>
    </row>
    <row r="59" ht="26" customHeight="1">
      <c r="A59" s="8" t="inlineStr">
        <is>
          <t>Salon monthly revenue from machine</t>
        </is>
      </c>
      <c r="B59" s="18" t="n">
        <v>0</v>
      </c>
      <c r="C59" s="4" t="inlineStr">
        <is>
          <t>ENTER what a salon earns per month running it.</t>
        </is>
      </c>
    </row>
    <row r="60" ht="26" customHeight="1">
      <c r="A60" s="5" t="inlineStr">
        <is>
          <t>Salon payback (months)</t>
        </is>
      </c>
      <c r="B60" s="20">
        <f>IF(AND(B59&gt;0,B56&gt;0),ROUND(B56/B59,1),"enter revenue")</f>
        <v/>
      </c>
      <c r="C60" s="4" t="inlineStr">
        <is>
          <t>This number IS your sales pitch. Sell the payback period, never the price.</t>
        </is>
      </c>
    </row>
    <row r="62">
      <c r="A62" s="3" t="inlineStr">
        <is>
          <t>SCENARIO E - IMPORT LANDED COST, BUILT UP PROPERLY</t>
        </is>
      </c>
    </row>
    <row r="63" ht="26" customHeight="1">
      <c r="A63" s="8" t="inlineStr">
        <is>
          <t>India invoice value (INR)</t>
        </is>
      </c>
      <c r="B63" s="18" t="n">
        <v>84000</v>
      </c>
      <c r="C63" s="4" t="inlineStr">
        <is>
          <t>Ex-works or FOB on the supplier invoice.</t>
        </is>
      </c>
    </row>
    <row r="64" ht="26" customHeight="1">
      <c r="A64" s="8" t="inlineStr">
        <is>
          <t>CIF in NPR</t>
        </is>
      </c>
      <c r="B64" s="13">
        <f>ROUND(B63*B5,0)</f>
        <v/>
      </c>
      <c r="C64" s="4" t="inlineStr">
        <is>
          <t>Converted at the peg. Customs values in NPR.</t>
        </is>
      </c>
    </row>
    <row r="65" ht="26" customHeight="1">
      <c r="A65" s="8" t="inlineStr">
        <is>
          <t>Customs duty payable</t>
        </is>
      </c>
      <c r="B65" s="13">
        <f>ROUND(B64*B7,0)</f>
        <v/>
      </c>
      <c r="C65" s="4" t="inlineStr">
        <is>
          <t>CIF x duty rate. The SAFTA certificate of origin cuts this.</t>
        </is>
      </c>
    </row>
    <row r="66" ht="26" customHeight="1">
      <c r="A66" s="8" t="inlineStr">
        <is>
          <t>VAT payable</t>
        </is>
      </c>
      <c r="B66" s="13">
        <f>ROUND((B64+B65)*B8,0)</f>
        <v/>
      </c>
      <c r="C66" s="4" t="inlineStr">
        <is>
          <t>VAT is charged on CIF + duty, not on CIF alone.</t>
        </is>
      </c>
    </row>
    <row r="67" ht="26" customHeight="1">
      <c r="A67" s="8" t="inlineStr">
        <is>
          <t>VAT actually borne</t>
        </is>
      </c>
      <c r="B67" s="13">
        <f>IF(B9=1,0,B66)</f>
        <v/>
      </c>
      <c r="C67" s="4" t="inlineStr">
        <is>
          <t>Zero if VAT registered. This is why registration matters.</t>
        </is>
      </c>
    </row>
    <row r="68" ht="26" customHeight="1">
      <c r="A68" s="8" t="inlineStr">
        <is>
          <t>Clearing agent + docs</t>
        </is>
      </c>
      <c r="B68" s="18" t="n">
        <v>2500</v>
      </c>
      <c r="C68" s="4" t="inlineStr">
        <is>
          <t>Per consignment; divide by units in the shipment.</t>
        </is>
      </c>
    </row>
    <row r="69" ht="26" customHeight="1">
      <c r="A69" s="8" t="inlineStr">
        <is>
          <t>Inland freight</t>
        </is>
      </c>
      <c r="B69" s="13">
        <f>B10</f>
        <v/>
      </c>
      <c r="C69" s="4" t="inlineStr"/>
    </row>
    <row r="70" ht="26" customHeight="1">
      <c r="A70" s="5" t="inlineStr">
        <is>
          <t>TRUE LANDED COST</t>
        </is>
      </c>
      <c r="B70" s="20">
        <f>ROUND(B64+B65+B67+B68+B69,0)</f>
        <v/>
      </c>
      <c r="C70" s="4" t="inlineStr"/>
    </row>
    <row r="71" ht="26" customHeight="1">
      <c r="A71" s="5" t="inlineStr">
        <is>
          <t>Implied landed multiplier</t>
        </is>
      </c>
      <c r="B71" s="20">
        <f>IFERROR(ROUND(B70/(B63*B5),3),"")</f>
        <v/>
      </c>
      <c r="C71" s="4" t="inlineStr">
        <is>
          <t>Compare against the placeholder at the top. When they diverge, update it - and every landed cost in the Product Master follows.</t>
        </is>
      </c>
    </row>
  </sheetData>
  <pageMargins left="0.75" right="0.75" top="1" bottom="1" header="0.5" footer="0.5"/>
</worksheet>
</file>

<file path=xl/worksheets/sheet4.xml><?xml version="1.0" encoding="utf-8"?>
<worksheet xmlns="http://schemas.openxmlformats.org/spreadsheetml/2006/main">
  <sheetPr>
    <tabColor rgb="FF9B1C1C"/>
    <outlinePr summaryBelow="1" summaryRight="1"/>
    <pageSetUpPr/>
  </sheetPr>
  <dimension ref="A1:G19"/>
  <sheetViews>
    <sheetView workbookViewId="0">
      <pane ySplit="5" topLeftCell="A6" activePane="bottomLeft" state="frozen"/>
      <selection pane="bottomLeft" activeCell="A1" sqref="A1"/>
    </sheetView>
  </sheetViews>
  <sheetFormatPr baseColWidth="8" defaultRowHeight="15"/>
  <cols>
    <col width="32" customWidth="1" min="1" max="1"/>
    <col width="13" customWidth="1" min="2" max="2"/>
    <col width="13" customWidth="1" min="3" max="3"/>
    <col width="30" customWidth="1" min="4" max="4"/>
    <col width="20" customWidth="1" min="5" max="5"/>
    <col width="22" customWidth="1" min="6" max="6"/>
    <col width="66" customWidth="1" min="7" max="7"/>
  </cols>
  <sheetData>
    <row r="1" ht="24" customHeight="1">
      <c r="A1" s="1" t="inlineStr">
        <is>
          <t>MARGIN VAULT - INTERNAL ONLY. DO NOT SHARE.</t>
        </is>
      </c>
    </row>
    <row r="2" ht="15.75" customHeight="1">
      <c r="A2" s="2" t="inlineStr">
        <is>
          <t>Real margin bands, floor prices and discount authority. Never send this workbook to a salon customer or to staff who negotiate. Export a PDF quote instead.</t>
        </is>
      </c>
    </row>
    <row r="3">
      <c r="A3" s="21" t="inlineStr">
        <is>
          <t>CONFIDENTIAL - anyone holding this sheet can calculate your buying price and negotiate against it.</t>
        </is>
      </c>
    </row>
    <row r="5" ht="30" customHeight="1">
      <c r="A5" s="9" t="inlineStr">
        <is>
          <t>Category</t>
        </is>
      </c>
      <c r="B5" s="9" t="inlineStr">
        <is>
          <t>Target Margin</t>
        </is>
      </c>
      <c r="C5" s="9" t="inlineStr">
        <is>
          <t>Floor Margin</t>
        </is>
      </c>
      <c r="D5" s="9" t="inlineStr">
        <is>
          <t>List Price Basis</t>
        </is>
      </c>
      <c r="E5" s="9" t="inlineStr">
        <is>
          <t>Max Discount Authority</t>
        </is>
      </c>
      <c r="F5" s="9" t="inlineStr">
        <is>
          <t>Who can approve</t>
        </is>
      </c>
      <c r="G5" s="9" t="inlineStr">
        <is>
          <t>Notes</t>
        </is>
      </c>
    </row>
    <row r="6" ht="28" customHeight="1">
      <c r="A6" s="10" t="inlineStr">
        <is>
          <t>Salon Furniture &amp; Equipment</t>
        </is>
      </c>
      <c r="B6" s="14" t="n">
        <v>0.5</v>
      </c>
      <c r="C6" s="14" t="n">
        <v>0.38</v>
      </c>
      <c r="D6" s="8" t="inlineStr">
        <is>
          <t>You set it - no Daraz anchor</t>
        </is>
      </c>
      <c r="E6" s="10" t="inlineStr">
        <is>
          <t>12% off list</t>
        </is>
      </c>
      <c r="F6" s="10" t="inlineStr">
        <is>
          <t>Owner only</t>
        </is>
      </c>
      <c r="G6" s="8" t="inlineStr">
        <is>
          <t>The profit line. Never discount on price alone; add free delivery, install or a trolley instead.</t>
        </is>
      </c>
    </row>
    <row r="7" ht="28" customHeight="1">
      <c r="A7" s="10" t="inlineStr">
        <is>
          <t>Hydrafacial / capital equipment</t>
        </is>
      </c>
      <c r="B7" s="14" t="n">
        <v>0.5</v>
      </c>
      <c r="C7" s="14" t="n">
        <v>0.4</v>
      </c>
      <c r="D7" s="8" t="inlineStr">
        <is>
          <t>You set it - no comparison</t>
        </is>
      </c>
      <c r="E7" s="10" t="inlineStr">
        <is>
          <t>10% off list</t>
        </is>
      </c>
      <c r="F7" s="10" t="inlineStr">
        <is>
          <t>Owner only</t>
        </is>
      </c>
      <c r="G7" s="8" t="inlineStr">
        <is>
          <t>Sell on payback period, not price. Discount the demo, never the machine.</t>
        </is>
      </c>
    </row>
    <row r="8" ht="28" customHeight="1">
      <c r="A8" s="10" t="inlineStr">
        <is>
          <t>Straighteners</t>
        </is>
      </c>
      <c r="B8" s="14" t="n">
        <v>0.275</v>
      </c>
      <c r="C8" s="14" t="n">
        <v>0.2</v>
      </c>
      <c r="D8" s="8" t="inlineStr">
        <is>
          <t>Daraz listed price</t>
        </is>
      </c>
      <c r="E8" s="10" t="inlineStr">
        <is>
          <t>8% off list</t>
        </is>
      </c>
      <c r="F8" s="10" t="inlineStr">
        <is>
          <t>Owner or manager</t>
        </is>
      </c>
      <c r="G8" s="8" t="inlineStr">
        <is>
          <t>Price-transparent. Compete on authenticity proof and warranty, not on being cheapest.</t>
        </is>
      </c>
    </row>
    <row r="9" ht="28" customHeight="1">
      <c r="A9" s="10" t="inlineStr">
        <is>
          <t>Hair Dryers</t>
        </is>
      </c>
      <c r="B9" s="14" t="n">
        <v>0.275</v>
      </c>
      <c r="C9" s="14" t="n">
        <v>0.2</v>
      </c>
      <c r="D9" s="8" t="inlineStr">
        <is>
          <t>Daraz listed price</t>
        </is>
      </c>
      <c r="E9" s="10" t="inlineStr">
        <is>
          <t>8% off list</t>
        </is>
      </c>
      <c r="F9" s="10" t="inlineStr">
        <is>
          <t>Owner or manager</t>
        </is>
      </c>
      <c r="G9" s="8" t="inlineStr">
        <is>
          <t>Same as straighteners. Bundle a brush rather than cutting price.</t>
        </is>
      </c>
    </row>
    <row r="10" ht="28" customHeight="1">
      <c r="A10" s="10" t="inlineStr">
        <is>
          <t>Curlers / Crimpers / Multi-Stylers</t>
        </is>
      </c>
      <c r="B10" s="14" t="n">
        <v>0.275</v>
      </c>
      <c r="C10" s="14" t="n">
        <v>0.2</v>
      </c>
      <c r="D10" s="8" t="inlineStr">
        <is>
          <t>Daraz listed price</t>
        </is>
      </c>
      <c r="E10" s="10" t="inlineStr">
        <is>
          <t>8% off list</t>
        </is>
      </c>
      <c r="F10" s="10" t="inlineStr">
        <is>
          <t>Owner or manager</t>
        </is>
      </c>
      <c r="G10" s="8" t="inlineStr">
        <is>
          <t>Reels-driven demand. Hold price during festival peaks.</t>
        </is>
      </c>
    </row>
    <row r="11" ht="28" customHeight="1">
      <c r="A11" s="10" t="inlineStr">
        <is>
          <t>Salon Tools (scissors, razors)</t>
        </is>
      </c>
      <c r="B11" s="14" t="n">
        <v>0.35</v>
      </c>
      <c r="C11" s="14" t="n">
        <v>0.25</v>
      </c>
      <c r="D11" s="8" t="inlineStr">
        <is>
          <t>India list x landed</t>
        </is>
      </c>
      <c r="E11" s="10" t="inlineStr">
        <is>
          <t>10% off list</t>
        </is>
      </c>
      <c r="F11" s="10" t="inlineStr">
        <is>
          <t>Owner or manager</t>
        </is>
      </c>
      <c r="G11" s="8" t="inlineStr">
        <is>
          <t>Stylists buy on feel. Let them hold the scissor before quoting.</t>
        </is>
      </c>
    </row>
    <row r="12" ht="28" customHeight="1">
      <c r="A12" s="10" t="inlineStr">
        <is>
          <t>Brushes, Combs, Accessories</t>
        </is>
      </c>
      <c r="B12" s="14" t="n">
        <v>0.35</v>
      </c>
      <c r="C12" s="14" t="n">
        <v>0.25</v>
      </c>
      <c r="D12" s="8" t="inlineStr">
        <is>
          <t>India list x landed</t>
        </is>
      </c>
      <c r="E12" s="10" t="inlineStr">
        <is>
          <t>Bundle only</t>
        </is>
      </c>
      <c r="F12" s="10" t="inlineStr">
        <is>
          <t>Any staff</t>
        </is>
      </c>
      <c r="G12" s="8" t="inlineStr">
        <is>
          <t>Never discounted alone. These exist to lift basket size on a tool sale.</t>
        </is>
      </c>
    </row>
    <row r="14">
      <c r="A14" s="3" t="inlineStr">
        <is>
          <t>B2B VOLUME TIERS - SALON ACCOUNTS</t>
        </is>
      </c>
    </row>
    <row r="15" ht="30" customHeight="1">
      <c r="A15" s="9" t="inlineStr">
        <is>
          <t>Tier</t>
        </is>
      </c>
      <c r="B15" s="9" t="inlineStr">
        <is>
          <t>Qualifies at</t>
        </is>
      </c>
      <c r="C15" s="9" t="inlineStr">
        <is>
          <t>Discount off list</t>
        </is>
      </c>
      <c r="D15" s="9" t="inlineStr">
        <is>
          <t>Payment terms</t>
        </is>
      </c>
      <c r="E15" s="9" t="inlineStr">
        <is>
          <t>Perks</t>
        </is>
      </c>
      <c r="F15" s="9" t="inlineStr">
        <is>
          <t>Notes</t>
        </is>
      </c>
    </row>
    <row r="16" ht="28" customHeight="1">
      <c r="A16" s="8" t="inlineStr">
        <is>
          <t>Registered</t>
        </is>
      </c>
      <c r="B16" s="8" t="inlineStr">
        <is>
          <t>Any verified salon</t>
        </is>
      </c>
      <c r="C16" s="8" t="inlineStr">
        <is>
          <t>5%</t>
        </is>
      </c>
      <c r="D16" s="8" t="inlineStr">
        <is>
          <t>Prepaid or COD</t>
        </is>
      </c>
      <c r="E16" s="8" t="inlineStr">
        <is>
          <t>Community broadcast access</t>
        </is>
      </c>
      <c r="F16" s="8" t="inlineStr">
        <is>
          <t>Entry tier. The point is to capture the account, not to make margin on the first order.</t>
        </is>
      </c>
    </row>
    <row r="17" ht="28" customHeight="1">
      <c r="A17" s="8" t="inlineStr">
        <is>
          <t>Silver</t>
        </is>
      </c>
      <c r="B17" s="8" t="inlineStr">
        <is>
          <t>NPR 100,000 in 12 months</t>
        </is>
      </c>
      <c r="C17" s="8" t="inlineStr">
        <is>
          <t>8%</t>
        </is>
      </c>
      <c r="D17" s="8" t="inlineStr">
        <is>
          <t>Prepaid or COD</t>
        </is>
      </c>
      <c r="E17" s="8" t="inlineStr">
        <is>
          <t>Free valley delivery</t>
        </is>
      </c>
      <c r="F17" s="8" t="inlineStr">
        <is>
          <t>Most parlours land here. Review quarterly.</t>
        </is>
      </c>
    </row>
    <row r="18" ht="28" customHeight="1">
      <c r="A18" s="8" t="inlineStr">
        <is>
          <t>Gold</t>
        </is>
      </c>
      <c r="B18" s="8" t="inlineStr">
        <is>
          <t>NPR 400,000 in 12 months</t>
        </is>
      </c>
      <c r="C18" s="8" t="inlineStr">
        <is>
          <t>12%</t>
        </is>
      </c>
      <c r="D18" s="8" t="inlineStr">
        <is>
          <t>15-day credit</t>
        </is>
      </c>
      <c r="E18" s="8" t="inlineStr">
        <is>
          <t>Free delivery + priority stock</t>
        </is>
      </c>
      <c r="F18" s="8" t="inlineStr">
        <is>
          <t>Credit only after 3 clean COD cycles. Never extend credit on a first order.</t>
        </is>
      </c>
    </row>
    <row r="19" ht="28" customHeight="1">
      <c r="A19" s="8" t="inlineStr">
        <is>
          <t>Platinum</t>
        </is>
      </c>
      <c r="B19" s="8" t="inlineStr">
        <is>
          <t>NPR 1,000,000 in 12 months, or a full fit-out</t>
        </is>
      </c>
      <c r="C19" s="8" t="inlineStr">
        <is>
          <t>15%</t>
        </is>
      </c>
      <c r="D19" s="8" t="inlineStr">
        <is>
          <t>30-day credit</t>
        </is>
      </c>
      <c r="E19" s="8" t="inlineStr">
        <is>
          <t>Free install + annual service visit</t>
        </is>
      </c>
      <c r="F19" s="8" t="inlineStr">
        <is>
          <t>Fit-out accounts. Owner approves every line personally.</t>
        </is>
      </c>
    </row>
  </sheetData>
  <autoFilter ref="A5:G5"/>
  <pageMargins left="0.75" right="0.75" top="1" bottom="1" header="0.5" footer="0.5"/>
</worksheet>
</file>

<file path=xl/worksheets/sheet5.xml><?xml version="1.0" encoding="utf-8"?>
<worksheet xmlns="http://schemas.openxmlformats.org/spreadsheetml/2006/main">
  <sheetPr>
    <tabColor rgb="FF1B5E20"/>
    <outlinePr summaryBelow="1" summaryRight="1"/>
    <pageSetUpPr/>
  </sheetPr>
  <dimension ref="A1:S73"/>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20" customWidth="1" min="3" max="3"/>
    <col width="15" customWidth="1" min="4" max="4"/>
    <col width="8" customWidth="1" min="5" max="5"/>
    <col width="18" customWidth="1" min="6" max="6"/>
    <col width="8" customWidth="1" min="7" max="7"/>
    <col width="12" customWidth="1" min="8" max="8"/>
    <col width="13" customWidth="1" min="9" max="9"/>
    <col width="14" customWidth="1" min="10" max="10"/>
    <col width="14" customWidth="1" min="11" max="11"/>
    <col width="14" customWidth="1" min="12" max="12"/>
    <col width="12" customWidth="1" min="13" max="13"/>
    <col width="14" customWidth="1" min="14" max="14"/>
    <col width="30" customWidth="1" min="15" max="15"/>
    <col width="30" customWidth="1" min="16" max="16"/>
    <col width="30" customWidth="1" min="17" max="17"/>
    <col width="14" customWidth="1" min="18" max="18"/>
    <col width="50" customWidth="1" min="19" max="19"/>
  </cols>
  <sheetData>
    <row r="1" ht="24" customHeight="1">
      <c r="A1" s="1" t="inlineStr">
        <is>
          <t>SALON &amp; PARLOUR COMMUNITY - ACCOUNT REGISTER</t>
        </is>
      </c>
    </row>
    <row r="2" ht="15.75" customHeight="1">
      <c r="A2" s="2" t="inlineStr">
        <is>
          <t>Your existing parlour customers are an installed base, not leads. This register is the seed data for the community module in the website build. Fill one row per account you already supply.</t>
        </is>
      </c>
    </row>
    <row r="4" ht="30" customHeight="1">
      <c r="A4" s="9" t="inlineStr">
        <is>
          <t>Acct ID</t>
        </is>
      </c>
      <c r="B4" s="9" t="inlineStr">
        <is>
          <t>Salon / Parlour Name</t>
        </is>
      </c>
      <c r="C4" s="9" t="inlineStr">
        <is>
          <t>Owner Contact</t>
        </is>
      </c>
      <c r="D4" s="9" t="inlineStr">
        <is>
          <t>Phone</t>
        </is>
      </c>
      <c r="E4" s="9" t="inlineStr">
        <is>
          <t>Viber?</t>
        </is>
      </c>
      <c r="F4" s="9" t="inlineStr">
        <is>
          <t>District / Area</t>
        </is>
      </c>
      <c r="G4" s="9" t="inlineStr">
        <is>
          <t>Chairs</t>
        </is>
      </c>
      <c r="H4" s="9" t="inlineStr">
        <is>
          <t>Tier</t>
        </is>
      </c>
      <c r="I4" s="9" t="inlineStr">
        <is>
          <t>First Bought</t>
        </is>
      </c>
      <c r="J4" s="9" t="inlineStr">
        <is>
          <t>Last Order Date</t>
        </is>
      </c>
      <c r="K4" s="9" t="inlineStr">
        <is>
          <t>Last Order NPR</t>
        </is>
      </c>
      <c r="L4" s="9" t="inlineStr">
        <is>
          <t>Lifetime NPR</t>
        </is>
      </c>
      <c r="M4" s="9" t="inlineStr">
        <is>
          <t>Avg Days Between Orders</t>
        </is>
      </c>
      <c r="N4" s="9" t="inlineStr">
        <is>
          <t>Next Nudge Due</t>
        </is>
      </c>
      <c r="O4" s="9" t="inlineStr">
        <is>
          <t>Buys (categories)</t>
        </is>
      </c>
      <c r="P4" s="9" t="inlineStr">
        <is>
          <t>Equipment Owned</t>
        </is>
      </c>
      <c r="Q4" s="9" t="inlineStr">
        <is>
          <t>Open Opportunity</t>
        </is>
      </c>
      <c r="R4" s="9" t="inlineStr">
        <is>
          <t>Broadcast Opt-in</t>
        </is>
      </c>
      <c r="S4" s="9" t="inlineStr">
        <is>
          <t>Notes</t>
        </is>
      </c>
    </row>
    <row r="5" ht="28" customHeight="1">
      <c r="A5" s="8" t="inlineStr">
        <is>
          <t>SAL-001</t>
        </is>
      </c>
      <c r="B5" s="8" t="inlineStr">
        <is>
          <t>&lt;your existing parlour #1&gt;</t>
        </is>
      </c>
      <c r="C5" s="8" t="n"/>
      <c r="D5" s="8" t="n"/>
      <c r="E5" s="8" t="inlineStr">
        <is>
          <t>Yes</t>
        </is>
      </c>
      <c r="F5" s="8" t="n"/>
      <c r="G5" s="8" t="n">
        <v>4</v>
      </c>
      <c r="H5" s="8" t="inlineStr">
        <is>
          <t>Silver</t>
        </is>
      </c>
      <c r="I5" s="8" t="n"/>
      <c r="J5" s="8" t="n"/>
      <c r="K5" s="8" t="n"/>
      <c r="L5" s="8" t="n"/>
      <c r="M5" s="8" t="n"/>
      <c r="N5" s="8" t="n"/>
      <c r="O5" s="8" t="inlineStr">
        <is>
          <t>Straighteners, dryers</t>
        </is>
      </c>
      <c r="P5" s="8" t="inlineStr">
        <is>
          <t>None yet</t>
        </is>
      </c>
      <c r="Q5" s="8" t="inlineStr">
        <is>
          <t>Shampoo station - measure space</t>
        </is>
      </c>
      <c r="R5" s="8" t="inlineStr">
        <is>
          <t>Yes</t>
        </is>
      </c>
      <c r="S5" s="8" t="inlineStr">
        <is>
          <t>EXAMPLE ROW - replace with a real account. Delete the rest once you have loaded your list.</t>
        </is>
      </c>
    </row>
    <row r="6">
      <c r="A6" s="10" t="inlineStr">
        <is>
          <t>SAL-003</t>
        </is>
      </c>
      <c r="B6" s="10" t="n"/>
      <c r="C6" s="10" t="n"/>
      <c r="D6" s="10" t="n"/>
      <c r="E6" s="10" t="n"/>
      <c r="F6" s="10" t="n"/>
      <c r="G6" s="10" t="n"/>
      <c r="H6" s="10" t="n"/>
      <c r="I6" s="10" t="n"/>
      <c r="J6" s="10" t="n"/>
      <c r="K6" s="10" t="n"/>
      <c r="L6" s="10" t="n"/>
      <c r="M6" s="10" t="n"/>
      <c r="N6" s="22">
        <f>IF(AND(J6&lt;&gt;"",M6&lt;&gt;""),J6+M6,"")</f>
        <v/>
      </c>
      <c r="O6" s="10" t="n"/>
      <c r="P6" s="10" t="n"/>
      <c r="Q6" s="10" t="n"/>
      <c r="R6" s="10" t="n"/>
      <c r="S6" s="10" t="n"/>
    </row>
    <row r="7">
      <c r="A7" s="10" t="inlineStr">
        <is>
          <t>SAL-004</t>
        </is>
      </c>
      <c r="B7" s="10" t="n"/>
      <c r="C7" s="10" t="n"/>
      <c r="D7" s="10" t="n"/>
      <c r="E7" s="10" t="n"/>
      <c r="F7" s="10" t="n"/>
      <c r="G7" s="10" t="n"/>
      <c r="H7" s="10" t="n"/>
      <c r="I7" s="10" t="n"/>
      <c r="J7" s="10" t="n"/>
      <c r="K7" s="10" t="n"/>
      <c r="L7" s="10" t="n"/>
      <c r="M7" s="10" t="n"/>
      <c r="N7" s="22">
        <f>IF(AND(J7&lt;&gt;"",M7&lt;&gt;""),J7+M7,"")</f>
        <v/>
      </c>
      <c r="O7" s="10" t="n"/>
      <c r="P7" s="10" t="n"/>
      <c r="Q7" s="10" t="n"/>
      <c r="R7" s="10" t="n"/>
      <c r="S7" s="10" t="n"/>
    </row>
    <row r="8">
      <c r="A8" s="10" t="inlineStr">
        <is>
          <t>SAL-005</t>
        </is>
      </c>
      <c r="B8" s="10" t="n"/>
      <c r="C8" s="10" t="n"/>
      <c r="D8" s="10" t="n"/>
      <c r="E8" s="10" t="n"/>
      <c r="F8" s="10" t="n"/>
      <c r="G8" s="10" t="n"/>
      <c r="H8" s="10" t="n"/>
      <c r="I8" s="10" t="n"/>
      <c r="J8" s="10" t="n"/>
      <c r="K8" s="10" t="n"/>
      <c r="L8" s="10" t="n"/>
      <c r="M8" s="10" t="n"/>
      <c r="N8" s="22">
        <f>IF(AND(J8&lt;&gt;"",M8&lt;&gt;""),J8+M8,"")</f>
        <v/>
      </c>
      <c r="O8" s="10" t="n"/>
      <c r="P8" s="10" t="n"/>
      <c r="Q8" s="10" t="n"/>
      <c r="R8" s="10" t="n"/>
      <c r="S8" s="10" t="n"/>
    </row>
    <row r="9">
      <c r="A9" s="10" t="inlineStr">
        <is>
          <t>SAL-006</t>
        </is>
      </c>
      <c r="B9" s="10" t="n"/>
      <c r="C9" s="10" t="n"/>
      <c r="D9" s="10" t="n"/>
      <c r="E9" s="10" t="n"/>
      <c r="F9" s="10" t="n"/>
      <c r="G9" s="10" t="n"/>
      <c r="H9" s="10" t="n"/>
      <c r="I9" s="10" t="n"/>
      <c r="J9" s="10" t="n"/>
      <c r="K9" s="10" t="n"/>
      <c r="L9" s="10" t="n"/>
      <c r="M9" s="10" t="n"/>
      <c r="N9" s="22">
        <f>IF(AND(J9&lt;&gt;"",M9&lt;&gt;""),J9+M9,"")</f>
        <v/>
      </c>
      <c r="O9" s="10" t="n"/>
      <c r="P9" s="10" t="n"/>
      <c r="Q9" s="10" t="n"/>
      <c r="R9" s="10" t="n"/>
      <c r="S9" s="10" t="n"/>
    </row>
    <row r="10">
      <c r="A10" s="10" t="inlineStr">
        <is>
          <t>SAL-007</t>
        </is>
      </c>
      <c r="B10" s="10" t="n"/>
      <c r="C10" s="10" t="n"/>
      <c r="D10" s="10" t="n"/>
      <c r="E10" s="10" t="n"/>
      <c r="F10" s="10" t="n"/>
      <c r="G10" s="10" t="n"/>
      <c r="H10" s="10" t="n"/>
      <c r="I10" s="10" t="n"/>
      <c r="J10" s="10" t="n"/>
      <c r="K10" s="10" t="n"/>
      <c r="L10" s="10" t="n"/>
      <c r="M10" s="10" t="n"/>
      <c r="N10" s="22">
        <f>IF(AND(J10&lt;&gt;"",M10&lt;&gt;""),J10+M10,"")</f>
        <v/>
      </c>
      <c r="O10" s="10" t="n"/>
      <c r="P10" s="10" t="n"/>
      <c r="Q10" s="10" t="n"/>
      <c r="R10" s="10" t="n"/>
      <c r="S10" s="10" t="n"/>
    </row>
    <row r="11">
      <c r="A11" s="10" t="inlineStr">
        <is>
          <t>SAL-008</t>
        </is>
      </c>
      <c r="B11" s="10" t="n"/>
      <c r="C11" s="10" t="n"/>
      <c r="D11" s="10" t="n"/>
      <c r="E11" s="10" t="n"/>
      <c r="F11" s="10" t="n"/>
      <c r="G11" s="10" t="n"/>
      <c r="H11" s="10" t="n"/>
      <c r="I11" s="10" t="n"/>
      <c r="J11" s="10" t="n"/>
      <c r="K11" s="10" t="n"/>
      <c r="L11" s="10" t="n"/>
      <c r="M11" s="10" t="n"/>
      <c r="N11" s="22">
        <f>IF(AND(J11&lt;&gt;"",M11&lt;&gt;""),J11+M11,"")</f>
        <v/>
      </c>
      <c r="O11" s="10" t="n"/>
      <c r="P11" s="10" t="n"/>
      <c r="Q11" s="10" t="n"/>
      <c r="R11" s="10" t="n"/>
      <c r="S11" s="10" t="n"/>
    </row>
    <row r="12">
      <c r="A12" s="10" t="inlineStr">
        <is>
          <t>SAL-009</t>
        </is>
      </c>
      <c r="B12" s="10" t="n"/>
      <c r="C12" s="10" t="n"/>
      <c r="D12" s="10" t="n"/>
      <c r="E12" s="10" t="n"/>
      <c r="F12" s="10" t="n"/>
      <c r="G12" s="10" t="n"/>
      <c r="H12" s="10" t="n"/>
      <c r="I12" s="10" t="n"/>
      <c r="J12" s="10" t="n"/>
      <c r="K12" s="10" t="n"/>
      <c r="L12" s="10" t="n"/>
      <c r="M12" s="10" t="n"/>
      <c r="N12" s="22">
        <f>IF(AND(J12&lt;&gt;"",M12&lt;&gt;""),J12+M12,"")</f>
        <v/>
      </c>
      <c r="O12" s="10" t="n"/>
      <c r="P12" s="10" t="n"/>
      <c r="Q12" s="10" t="n"/>
      <c r="R12" s="10" t="n"/>
      <c r="S12" s="10" t="n"/>
    </row>
    <row r="13">
      <c r="A13" s="10" t="inlineStr">
        <is>
          <t>SAL-010</t>
        </is>
      </c>
      <c r="B13" s="10" t="n"/>
      <c r="C13" s="10" t="n"/>
      <c r="D13" s="10" t="n"/>
      <c r="E13" s="10" t="n"/>
      <c r="F13" s="10" t="n"/>
      <c r="G13" s="10" t="n"/>
      <c r="H13" s="10" t="n"/>
      <c r="I13" s="10" t="n"/>
      <c r="J13" s="10" t="n"/>
      <c r="K13" s="10" t="n"/>
      <c r="L13" s="10" t="n"/>
      <c r="M13" s="10" t="n"/>
      <c r="N13" s="22">
        <f>IF(AND(J13&lt;&gt;"",M13&lt;&gt;""),J13+M13,"")</f>
        <v/>
      </c>
      <c r="O13" s="10" t="n"/>
      <c r="P13" s="10" t="n"/>
      <c r="Q13" s="10" t="n"/>
      <c r="R13" s="10" t="n"/>
      <c r="S13" s="10" t="n"/>
    </row>
    <row r="14">
      <c r="A14" s="10" t="inlineStr">
        <is>
          <t>SAL-011</t>
        </is>
      </c>
      <c r="B14" s="10" t="n"/>
      <c r="C14" s="10" t="n"/>
      <c r="D14" s="10" t="n"/>
      <c r="E14" s="10" t="n"/>
      <c r="F14" s="10" t="n"/>
      <c r="G14" s="10" t="n"/>
      <c r="H14" s="10" t="n"/>
      <c r="I14" s="10" t="n"/>
      <c r="J14" s="10" t="n"/>
      <c r="K14" s="10" t="n"/>
      <c r="L14" s="10" t="n"/>
      <c r="M14" s="10" t="n"/>
      <c r="N14" s="22">
        <f>IF(AND(J14&lt;&gt;"",M14&lt;&gt;""),J14+M14,"")</f>
        <v/>
      </c>
      <c r="O14" s="10" t="n"/>
      <c r="P14" s="10" t="n"/>
      <c r="Q14" s="10" t="n"/>
      <c r="R14" s="10" t="n"/>
      <c r="S14" s="10" t="n"/>
    </row>
    <row r="15">
      <c r="A15" s="10" t="inlineStr">
        <is>
          <t>SAL-012</t>
        </is>
      </c>
      <c r="B15" s="10" t="n"/>
      <c r="C15" s="10" t="n"/>
      <c r="D15" s="10" t="n"/>
      <c r="E15" s="10" t="n"/>
      <c r="F15" s="10" t="n"/>
      <c r="G15" s="10" t="n"/>
      <c r="H15" s="10" t="n"/>
      <c r="I15" s="10" t="n"/>
      <c r="J15" s="10" t="n"/>
      <c r="K15" s="10" t="n"/>
      <c r="L15" s="10" t="n"/>
      <c r="M15" s="10" t="n"/>
      <c r="N15" s="22">
        <f>IF(AND(J15&lt;&gt;"",M15&lt;&gt;""),J15+M15,"")</f>
        <v/>
      </c>
      <c r="O15" s="10" t="n"/>
      <c r="P15" s="10" t="n"/>
      <c r="Q15" s="10" t="n"/>
      <c r="R15" s="10" t="n"/>
      <c r="S15" s="10" t="n"/>
    </row>
    <row r="16">
      <c r="A16" s="10" t="inlineStr">
        <is>
          <t>SAL-013</t>
        </is>
      </c>
      <c r="B16" s="10" t="n"/>
      <c r="C16" s="10" t="n"/>
      <c r="D16" s="10" t="n"/>
      <c r="E16" s="10" t="n"/>
      <c r="F16" s="10" t="n"/>
      <c r="G16" s="10" t="n"/>
      <c r="H16" s="10" t="n"/>
      <c r="I16" s="10" t="n"/>
      <c r="J16" s="10" t="n"/>
      <c r="K16" s="10" t="n"/>
      <c r="L16" s="10" t="n"/>
      <c r="M16" s="10" t="n"/>
      <c r="N16" s="22">
        <f>IF(AND(J16&lt;&gt;"",M16&lt;&gt;""),J16+M16,"")</f>
        <v/>
      </c>
      <c r="O16" s="10" t="n"/>
      <c r="P16" s="10" t="n"/>
      <c r="Q16" s="10" t="n"/>
      <c r="R16" s="10" t="n"/>
      <c r="S16" s="10" t="n"/>
    </row>
    <row r="17">
      <c r="A17" s="10" t="inlineStr">
        <is>
          <t>SAL-014</t>
        </is>
      </c>
      <c r="B17" s="10" t="n"/>
      <c r="C17" s="10" t="n"/>
      <c r="D17" s="10" t="n"/>
      <c r="E17" s="10" t="n"/>
      <c r="F17" s="10" t="n"/>
      <c r="G17" s="10" t="n"/>
      <c r="H17" s="10" t="n"/>
      <c r="I17" s="10" t="n"/>
      <c r="J17" s="10" t="n"/>
      <c r="K17" s="10" t="n"/>
      <c r="L17" s="10" t="n"/>
      <c r="M17" s="10" t="n"/>
      <c r="N17" s="22">
        <f>IF(AND(J17&lt;&gt;"",M17&lt;&gt;""),J17+M17,"")</f>
        <v/>
      </c>
      <c r="O17" s="10" t="n"/>
      <c r="P17" s="10" t="n"/>
      <c r="Q17" s="10" t="n"/>
      <c r="R17" s="10" t="n"/>
      <c r="S17" s="10" t="n"/>
    </row>
    <row r="18">
      <c r="A18" s="10" t="inlineStr">
        <is>
          <t>SAL-015</t>
        </is>
      </c>
      <c r="B18" s="10" t="n"/>
      <c r="C18" s="10" t="n"/>
      <c r="D18" s="10" t="n"/>
      <c r="E18" s="10" t="n"/>
      <c r="F18" s="10" t="n"/>
      <c r="G18" s="10" t="n"/>
      <c r="H18" s="10" t="n"/>
      <c r="I18" s="10" t="n"/>
      <c r="J18" s="10" t="n"/>
      <c r="K18" s="10" t="n"/>
      <c r="L18" s="10" t="n"/>
      <c r="M18" s="10" t="n"/>
      <c r="N18" s="22">
        <f>IF(AND(J18&lt;&gt;"",M18&lt;&gt;""),J18+M18,"")</f>
        <v/>
      </c>
      <c r="O18" s="10" t="n"/>
      <c r="P18" s="10" t="n"/>
      <c r="Q18" s="10" t="n"/>
      <c r="R18" s="10" t="n"/>
      <c r="S18" s="10" t="n"/>
    </row>
    <row r="19">
      <c r="A19" s="10" t="inlineStr">
        <is>
          <t>SAL-016</t>
        </is>
      </c>
      <c r="B19" s="10" t="n"/>
      <c r="C19" s="10" t="n"/>
      <c r="D19" s="10" t="n"/>
      <c r="E19" s="10" t="n"/>
      <c r="F19" s="10" t="n"/>
      <c r="G19" s="10" t="n"/>
      <c r="H19" s="10" t="n"/>
      <c r="I19" s="10" t="n"/>
      <c r="J19" s="10" t="n"/>
      <c r="K19" s="10" t="n"/>
      <c r="L19" s="10" t="n"/>
      <c r="M19" s="10" t="n"/>
      <c r="N19" s="22">
        <f>IF(AND(J19&lt;&gt;"",M19&lt;&gt;""),J19+M19,"")</f>
        <v/>
      </c>
      <c r="O19" s="10" t="n"/>
      <c r="P19" s="10" t="n"/>
      <c r="Q19" s="10" t="n"/>
      <c r="R19" s="10" t="n"/>
      <c r="S19" s="10" t="n"/>
    </row>
    <row r="20">
      <c r="A20" s="10" t="inlineStr">
        <is>
          <t>SAL-017</t>
        </is>
      </c>
      <c r="B20" s="10" t="n"/>
      <c r="C20" s="10" t="n"/>
      <c r="D20" s="10" t="n"/>
      <c r="E20" s="10" t="n"/>
      <c r="F20" s="10" t="n"/>
      <c r="G20" s="10" t="n"/>
      <c r="H20" s="10" t="n"/>
      <c r="I20" s="10" t="n"/>
      <c r="J20" s="10" t="n"/>
      <c r="K20" s="10" t="n"/>
      <c r="L20" s="10" t="n"/>
      <c r="M20" s="10" t="n"/>
      <c r="N20" s="22">
        <f>IF(AND(J20&lt;&gt;"",M20&lt;&gt;""),J20+M20,"")</f>
        <v/>
      </c>
      <c r="O20" s="10" t="n"/>
      <c r="P20" s="10" t="n"/>
      <c r="Q20" s="10" t="n"/>
      <c r="R20" s="10" t="n"/>
      <c r="S20" s="10" t="n"/>
    </row>
    <row r="21">
      <c r="A21" s="10" t="inlineStr">
        <is>
          <t>SAL-018</t>
        </is>
      </c>
      <c r="B21" s="10" t="n"/>
      <c r="C21" s="10" t="n"/>
      <c r="D21" s="10" t="n"/>
      <c r="E21" s="10" t="n"/>
      <c r="F21" s="10" t="n"/>
      <c r="G21" s="10" t="n"/>
      <c r="H21" s="10" t="n"/>
      <c r="I21" s="10" t="n"/>
      <c r="J21" s="10" t="n"/>
      <c r="K21" s="10" t="n"/>
      <c r="L21" s="10" t="n"/>
      <c r="M21" s="10" t="n"/>
      <c r="N21" s="22">
        <f>IF(AND(J21&lt;&gt;"",M21&lt;&gt;""),J21+M21,"")</f>
        <v/>
      </c>
      <c r="O21" s="10" t="n"/>
      <c r="P21" s="10" t="n"/>
      <c r="Q21" s="10" t="n"/>
      <c r="R21" s="10" t="n"/>
      <c r="S21" s="10" t="n"/>
    </row>
    <row r="22">
      <c r="A22" s="10" t="inlineStr">
        <is>
          <t>SAL-019</t>
        </is>
      </c>
      <c r="B22" s="10" t="n"/>
      <c r="C22" s="10" t="n"/>
      <c r="D22" s="10" t="n"/>
      <c r="E22" s="10" t="n"/>
      <c r="F22" s="10" t="n"/>
      <c r="G22" s="10" t="n"/>
      <c r="H22" s="10" t="n"/>
      <c r="I22" s="10" t="n"/>
      <c r="J22" s="10" t="n"/>
      <c r="K22" s="10" t="n"/>
      <c r="L22" s="10" t="n"/>
      <c r="M22" s="10" t="n"/>
      <c r="N22" s="22">
        <f>IF(AND(J22&lt;&gt;"",M22&lt;&gt;""),J22+M22,"")</f>
        <v/>
      </c>
      <c r="O22" s="10" t="n"/>
      <c r="P22" s="10" t="n"/>
      <c r="Q22" s="10" t="n"/>
      <c r="R22" s="10" t="n"/>
      <c r="S22" s="10" t="n"/>
    </row>
    <row r="23">
      <c r="A23" s="10" t="inlineStr">
        <is>
          <t>SAL-020</t>
        </is>
      </c>
      <c r="B23" s="10" t="n"/>
      <c r="C23" s="10" t="n"/>
      <c r="D23" s="10" t="n"/>
      <c r="E23" s="10" t="n"/>
      <c r="F23" s="10" t="n"/>
      <c r="G23" s="10" t="n"/>
      <c r="H23" s="10" t="n"/>
      <c r="I23" s="10" t="n"/>
      <c r="J23" s="10" t="n"/>
      <c r="K23" s="10" t="n"/>
      <c r="L23" s="10" t="n"/>
      <c r="M23" s="10" t="n"/>
      <c r="N23" s="22">
        <f>IF(AND(J23&lt;&gt;"",M23&lt;&gt;""),J23+M23,"")</f>
        <v/>
      </c>
      <c r="O23" s="10" t="n"/>
      <c r="P23" s="10" t="n"/>
      <c r="Q23" s="10" t="n"/>
      <c r="R23" s="10" t="n"/>
      <c r="S23" s="10" t="n"/>
    </row>
    <row r="24">
      <c r="A24" s="10" t="inlineStr">
        <is>
          <t>SAL-021</t>
        </is>
      </c>
      <c r="B24" s="10" t="n"/>
      <c r="C24" s="10" t="n"/>
      <c r="D24" s="10" t="n"/>
      <c r="E24" s="10" t="n"/>
      <c r="F24" s="10" t="n"/>
      <c r="G24" s="10" t="n"/>
      <c r="H24" s="10" t="n"/>
      <c r="I24" s="10" t="n"/>
      <c r="J24" s="10" t="n"/>
      <c r="K24" s="10" t="n"/>
      <c r="L24" s="10" t="n"/>
      <c r="M24" s="10" t="n"/>
      <c r="N24" s="22">
        <f>IF(AND(J24&lt;&gt;"",M24&lt;&gt;""),J24+M24,"")</f>
        <v/>
      </c>
      <c r="O24" s="10" t="n"/>
      <c r="P24" s="10" t="n"/>
      <c r="Q24" s="10" t="n"/>
      <c r="R24" s="10" t="n"/>
      <c r="S24" s="10" t="n"/>
    </row>
    <row r="25">
      <c r="A25" s="10" t="inlineStr">
        <is>
          <t>SAL-022</t>
        </is>
      </c>
      <c r="B25" s="10" t="n"/>
      <c r="C25" s="10" t="n"/>
      <c r="D25" s="10" t="n"/>
      <c r="E25" s="10" t="n"/>
      <c r="F25" s="10" t="n"/>
      <c r="G25" s="10" t="n"/>
      <c r="H25" s="10" t="n"/>
      <c r="I25" s="10" t="n"/>
      <c r="J25" s="10" t="n"/>
      <c r="K25" s="10" t="n"/>
      <c r="L25" s="10" t="n"/>
      <c r="M25" s="10" t="n"/>
      <c r="N25" s="22">
        <f>IF(AND(J25&lt;&gt;"",M25&lt;&gt;""),J25+M25,"")</f>
        <v/>
      </c>
      <c r="O25" s="10" t="n"/>
      <c r="P25" s="10" t="n"/>
      <c r="Q25" s="10" t="n"/>
      <c r="R25" s="10" t="n"/>
      <c r="S25" s="10" t="n"/>
    </row>
    <row r="26">
      <c r="A26" s="10" t="inlineStr">
        <is>
          <t>SAL-023</t>
        </is>
      </c>
      <c r="B26" s="10" t="n"/>
      <c r="C26" s="10" t="n"/>
      <c r="D26" s="10" t="n"/>
      <c r="E26" s="10" t="n"/>
      <c r="F26" s="10" t="n"/>
      <c r="G26" s="10" t="n"/>
      <c r="H26" s="10" t="n"/>
      <c r="I26" s="10" t="n"/>
      <c r="J26" s="10" t="n"/>
      <c r="K26" s="10" t="n"/>
      <c r="L26" s="10" t="n"/>
      <c r="M26" s="10" t="n"/>
      <c r="N26" s="22">
        <f>IF(AND(J26&lt;&gt;"",M26&lt;&gt;""),J26+M26,"")</f>
        <v/>
      </c>
      <c r="O26" s="10" t="n"/>
      <c r="P26" s="10" t="n"/>
      <c r="Q26" s="10" t="n"/>
      <c r="R26" s="10" t="n"/>
      <c r="S26" s="10" t="n"/>
    </row>
    <row r="27">
      <c r="A27" s="10" t="inlineStr">
        <is>
          <t>SAL-024</t>
        </is>
      </c>
      <c r="B27" s="10" t="n"/>
      <c r="C27" s="10" t="n"/>
      <c r="D27" s="10" t="n"/>
      <c r="E27" s="10" t="n"/>
      <c r="F27" s="10" t="n"/>
      <c r="G27" s="10" t="n"/>
      <c r="H27" s="10" t="n"/>
      <c r="I27" s="10" t="n"/>
      <c r="J27" s="10" t="n"/>
      <c r="K27" s="10" t="n"/>
      <c r="L27" s="10" t="n"/>
      <c r="M27" s="10" t="n"/>
      <c r="N27" s="22">
        <f>IF(AND(J27&lt;&gt;"",M27&lt;&gt;""),J27+M27,"")</f>
        <v/>
      </c>
      <c r="O27" s="10" t="n"/>
      <c r="P27" s="10" t="n"/>
      <c r="Q27" s="10" t="n"/>
      <c r="R27" s="10" t="n"/>
      <c r="S27" s="10" t="n"/>
    </row>
    <row r="28">
      <c r="A28" s="10" t="inlineStr">
        <is>
          <t>SAL-025</t>
        </is>
      </c>
      <c r="B28" s="10" t="n"/>
      <c r="C28" s="10" t="n"/>
      <c r="D28" s="10" t="n"/>
      <c r="E28" s="10" t="n"/>
      <c r="F28" s="10" t="n"/>
      <c r="G28" s="10" t="n"/>
      <c r="H28" s="10" t="n"/>
      <c r="I28" s="10" t="n"/>
      <c r="J28" s="10" t="n"/>
      <c r="K28" s="10" t="n"/>
      <c r="L28" s="10" t="n"/>
      <c r="M28" s="10" t="n"/>
      <c r="N28" s="22">
        <f>IF(AND(J28&lt;&gt;"",M28&lt;&gt;""),J28+M28,"")</f>
        <v/>
      </c>
      <c r="O28" s="10" t="n"/>
      <c r="P28" s="10" t="n"/>
      <c r="Q28" s="10" t="n"/>
      <c r="R28" s="10" t="n"/>
      <c r="S28" s="10" t="n"/>
    </row>
    <row r="29">
      <c r="A29" s="10" t="inlineStr">
        <is>
          <t>SAL-026</t>
        </is>
      </c>
      <c r="B29" s="10" t="n"/>
      <c r="C29" s="10" t="n"/>
      <c r="D29" s="10" t="n"/>
      <c r="E29" s="10" t="n"/>
      <c r="F29" s="10" t="n"/>
      <c r="G29" s="10" t="n"/>
      <c r="H29" s="10" t="n"/>
      <c r="I29" s="10" t="n"/>
      <c r="J29" s="10" t="n"/>
      <c r="K29" s="10" t="n"/>
      <c r="L29" s="10" t="n"/>
      <c r="M29" s="10" t="n"/>
      <c r="N29" s="22">
        <f>IF(AND(J29&lt;&gt;"",M29&lt;&gt;""),J29+M29,"")</f>
        <v/>
      </c>
      <c r="O29" s="10" t="n"/>
      <c r="P29" s="10" t="n"/>
      <c r="Q29" s="10" t="n"/>
      <c r="R29" s="10" t="n"/>
      <c r="S29" s="10" t="n"/>
    </row>
    <row r="30">
      <c r="A30" s="10" t="inlineStr">
        <is>
          <t>SAL-027</t>
        </is>
      </c>
      <c r="B30" s="10" t="n"/>
      <c r="C30" s="10" t="n"/>
      <c r="D30" s="10" t="n"/>
      <c r="E30" s="10" t="n"/>
      <c r="F30" s="10" t="n"/>
      <c r="G30" s="10" t="n"/>
      <c r="H30" s="10" t="n"/>
      <c r="I30" s="10" t="n"/>
      <c r="J30" s="10" t="n"/>
      <c r="K30" s="10" t="n"/>
      <c r="L30" s="10" t="n"/>
      <c r="M30" s="10" t="n"/>
      <c r="N30" s="22">
        <f>IF(AND(J30&lt;&gt;"",M30&lt;&gt;""),J30+M30,"")</f>
        <v/>
      </c>
      <c r="O30" s="10" t="n"/>
      <c r="P30" s="10" t="n"/>
      <c r="Q30" s="10" t="n"/>
      <c r="R30" s="10" t="n"/>
      <c r="S30" s="10" t="n"/>
    </row>
    <row r="31">
      <c r="A31" s="10" t="inlineStr">
        <is>
          <t>SAL-028</t>
        </is>
      </c>
      <c r="B31" s="10" t="n"/>
      <c r="C31" s="10" t="n"/>
      <c r="D31" s="10" t="n"/>
      <c r="E31" s="10" t="n"/>
      <c r="F31" s="10" t="n"/>
      <c r="G31" s="10" t="n"/>
      <c r="H31" s="10" t="n"/>
      <c r="I31" s="10" t="n"/>
      <c r="J31" s="10" t="n"/>
      <c r="K31" s="10" t="n"/>
      <c r="L31" s="10" t="n"/>
      <c r="M31" s="10" t="n"/>
      <c r="N31" s="22">
        <f>IF(AND(J31&lt;&gt;"",M31&lt;&gt;""),J31+M31,"")</f>
        <v/>
      </c>
      <c r="O31" s="10" t="n"/>
      <c r="P31" s="10" t="n"/>
      <c r="Q31" s="10" t="n"/>
      <c r="R31" s="10" t="n"/>
      <c r="S31" s="10" t="n"/>
    </row>
    <row r="32">
      <c r="A32" s="10" t="inlineStr">
        <is>
          <t>SAL-029</t>
        </is>
      </c>
      <c r="B32" s="10" t="n"/>
      <c r="C32" s="10" t="n"/>
      <c r="D32" s="10" t="n"/>
      <c r="E32" s="10" t="n"/>
      <c r="F32" s="10" t="n"/>
      <c r="G32" s="10" t="n"/>
      <c r="H32" s="10" t="n"/>
      <c r="I32" s="10" t="n"/>
      <c r="J32" s="10" t="n"/>
      <c r="K32" s="10" t="n"/>
      <c r="L32" s="10" t="n"/>
      <c r="M32" s="10" t="n"/>
      <c r="N32" s="22">
        <f>IF(AND(J32&lt;&gt;"",M32&lt;&gt;""),J32+M32,"")</f>
        <v/>
      </c>
      <c r="O32" s="10" t="n"/>
      <c r="P32" s="10" t="n"/>
      <c r="Q32" s="10" t="n"/>
      <c r="R32" s="10" t="n"/>
      <c r="S32" s="10" t="n"/>
    </row>
    <row r="33">
      <c r="A33" s="10" t="inlineStr">
        <is>
          <t>SAL-030</t>
        </is>
      </c>
      <c r="B33" s="10" t="n"/>
      <c r="C33" s="10" t="n"/>
      <c r="D33" s="10" t="n"/>
      <c r="E33" s="10" t="n"/>
      <c r="F33" s="10" t="n"/>
      <c r="G33" s="10" t="n"/>
      <c r="H33" s="10" t="n"/>
      <c r="I33" s="10" t="n"/>
      <c r="J33" s="10" t="n"/>
      <c r="K33" s="10" t="n"/>
      <c r="L33" s="10" t="n"/>
      <c r="M33" s="10" t="n"/>
      <c r="N33" s="22">
        <f>IF(AND(J33&lt;&gt;"",M33&lt;&gt;""),J33+M33,"")</f>
        <v/>
      </c>
      <c r="O33" s="10" t="n"/>
      <c r="P33" s="10" t="n"/>
      <c r="Q33" s="10" t="n"/>
      <c r="R33" s="10" t="n"/>
      <c r="S33" s="10" t="n"/>
    </row>
    <row r="34">
      <c r="A34" s="10" t="inlineStr">
        <is>
          <t>SAL-031</t>
        </is>
      </c>
      <c r="B34" s="10" t="n"/>
      <c r="C34" s="10" t="n"/>
      <c r="D34" s="10" t="n"/>
      <c r="E34" s="10" t="n"/>
      <c r="F34" s="10" t="n"/>
      <c r="G34" s="10" t="n"/>
      <c r="H34" s="10" t="n"/>
      <c r="I34" s="10" t="n"/>
      <c r="J34" s="10" t="n"/>
      <c r="K34" s="10" t="n"/>
      <c r="L34" s="10" t="n"/>
      <c r="M34" s="10" t="n"/>
      <c r="N34" s="22">
        <f>IF(AND(J34&lt;&gt;"",M34&lt;&gt;""),J34+M34,"")</f>
        <v/>
      </c>
      <c r="O34" s="10" t="n"/>
      <c r="P34" s="10" t="n"/>
      <c r="Q34" s="10" t="n"/>
      <c r="R34" s="10" t="n"/>
      <c r="S34" s="10" t="n"/>
    </row>
    <row r="35">
      <c r="A35" s="10" t="inlineStr">
        <is>
          <t>SAL-032</t>
        </is>
      </c>
      <c r="B35" s="10" t="n"/>
      <c r="C35" s="10" t="n"/>
      <c r="D35" s="10" t="n"/>
      <c r="E35" s="10" t="n"/>
      <c r="F35" s="10" t="n"/>
      <c r="G35" s="10" t="n"/>
      <c r="H35" s="10" t="n"/>
      <c r="I35" s="10" t="n"/>
      <c r="J35" s="10" t="n"/>
      <c r="K35" s="10" t="n"/>
      <c r="L35" s="10" t="n"/>
      <c r="M35" s="10" t="n"/>
      <c r="N35" s="22">
        <f>IF(AND(J35&lt;&gt;"",M35&lt;&gt;""),J35+M35,"")</f>
        <v/>
      </c>
      <c r="O35" s="10" t="n"/>
      <c r="P35" s="10" t="n"/>
      <c r="Q35" s="10" t="n"/>
      <c r="R35" s="10" t="n"/>
      <c r="S35" s="10" t="n"/>
    </row>
    <row r="36">
      <c r="A36" s="10" t="inlineStr">
        <is>
          <t>SAL-033</t>
        </is>
      </c>
      <c r="B36" s="10" t="n"/>
      <c r="C36" s="10" t="n"/>
      <c r="D36" s="10" t="n"/>
      <c r="E36" s="10" t="n"/>
      <c r="F36" s="10" t="n"/>
      <c r="G36" s="10" t="n"/>
      <c r="H36" s="10" t="n"/>
      <c r="I36" s="10" t="n"/>
      <c r="J36" s="10" t="n"/>
      <c r="K36" s="10" t="n"/>
      <c r="L36" s="10" t="n"/>
      <c r="M36" s="10" t="n"/>
      <c r="N36" s="22">
        <f>IF(AND(J36&lt;&gt;"",M36&lt;&gt;""),J36+M36,"")</f>
        <v/>
      </c>
      <c r="O36" s="10" t="n"/>
      <c r="P36" s="10" t="n"/>
      <c r="Q36" s="10" t="n"/>
      <c r="R36" s="10" t="n"/>
      <c r="S36" s="10" t="n"/>
    </row>
    <row r="37">
      <c r="A37" s="10" t="inlineStr">
        <is>
          <t>SAL-034</t>
        </is>
      </c>
      <c r="B37" s="10" t="n"/>
      <c r="C37" s="10" t="n"/>
      <c r="D37" s="10" t="n"/>
      <c r="E37" s="10" t="n"/>
      <c r="F37" s="10" t="n"/>
      <c r="G37" s="10" t="n"/>
      <c r="H37" s="10" t="n"/>
      <c r="I37" s="10" t="n"/>
      <c r="J37" s="10" t="n"/>
      <c r="K37" s="10" t="n"/>
      <c r="L37" s="10" t="n"/>
      <c r="M37" s="10" t="n"/>
      <c r="N37" s="22">
        <f>IF(AND(J37&lt;&gt;"",M37&lt;&gt;""),J37+M37,"")</f>
        <v/>
      </c>
      <c r="O37" s="10" t="n"/>
      <c r="P37" s="10" t="n"/>
      <c r="Q37" s="10" t="n"/>
      <c r="R37" s="10" t="n"/>
      <c r="S37" s="10" t="n"/>
    </row>
    <row r="38">
      <c r="A38" s="10" t="inlineStr">
        <is>
          <t>SAL-035</t>
        </is>
      </c>
      <c r="B38" s="10" t="n"/>
      <c r="C38" s="10" t="n"/>
      <c r="D38" s="10" t="n"/>
      <c r="E38" s="10" t="n"/>
      <c r="F38" s="10" t="n"/>
      <c r="G38" s="10" t="n"/>
      <c r="H38" s="10" t="n"/>
      <c r="I38" s="10" t="n"/>
      <c r="J38" s="10" t="n"/>
      <c r="K38" s="10" t="n"/>
      <c r="L38" s="10" t="n"/>
      <c r="M38" s="10" t="n"/>
      <c r="N38" s="22">
        <f>IF(AND(J38&lt;&gt;"",M38&lt;&gt;""),J38+M38,"")</f>
        <v/>
      </c>
      <c r="O38" s="10" t="n"/>
      <c r="P38" s="10" t="n"/>
      <c r="Q38" s="10" t="n"/>
      <c r="R38" s="10" t="n"/>
      <c r="S38" s="10" t="n"/>
    </row>
    <row r="39">
      <c r="A39" s="10" t="inlineStr">
        <is>
          <t>SAL-036</t>
        </is>
      </c>
      <c r="B39" s="10" t="n"/>
      <c r="C39" s="10" t="n"/>
      <c r="D39" s="10" t="n"/>
      <c r="E39" s="10" t="n"/>
      <c r="F39" s="10" t="n"/>
      <c r="G39" s="10" t="n"/>
      <c r="H39" s="10" t="n"/>
      <c r="I39" s="10" t="n"/>
      <c r="J39" s="10" t="n"/>
      <c r="K39" s="10" t="n"/>
      <c r="L39" s="10" t="n"/>
      <c r="M39" s="10" t="n"/>
      <c r="N39" s="22">
        <f>IF(AND(J39&lt;&gt;"",M39&lt;&gt;""),J39+M39,"")</f>
        <v/>
      </c>
      <c r="O39" s="10" t="n"/>
      <c r="P39" s="10" t="n"/>
      <c r="Q39" s="10" t="n"/>
      <c r="R39" s="10" t="n"/>
      <c r="S39" s="10" t="n"/>
    </row>
    <row r="40">
      <c r="A40" s="10" t="inlineStr">
        <is>
          <t>SAL-037</t>
        </is>
      </c>
      <c r="B40" s="10" t="n"/>
      <c r="C40" s="10" t="n"/>
      <c r="D40" s="10" t="n"/>
      <c r="E40" s="10" t="n"/>
      <c r="F40" s="10" t="n"/>
      <c r="G40" s="10" t="n"/>
      <c r="H40" s="10" t="n"/>
      <c r="I40" s="10" t="n"/>
      <c r="J40" s="10" t="n"/>
      <c r="K40" s="10" t="n"/>
      <c r="L40" s="10" t="n"/>
      <c r="M40" s="10" t="n"/>
      <c r="N40" s="22">
        <f>IF(AND(J40&lt;&gt;"",M40&lt;&gt;""),J40+M40,"")</f>
        <v/>
      </c>
      <c r="O40" s="10" t="n"/>
      <c r="P40" s="10" t="n"/>
      <c r="Q40" s="10" t="n"/>
      <c r="R40" s="10" t="n"/>
      <c r="S40" s="10" t="n"/>
    </row>
    <row r="41">
      <c r="A41" s="10" t="inlineStr">
        <is>
          <t>SAL-038</t>
        </is>
      </c>
      <c r="B41" s="10" t="n"/>
      <c r="C41" s="10" t="n"/>
      <c r="D41" s="10" t="n"/>
      <c r="E41" s="10" t="n"/>
      <c r="F41" s="10" t="n"/>
      <c r="G41" s="10" t="n"/>
      <c r="H41" s="10" t="n"/>
      <c r="I41" s="10" t="n"/>
      <c r="J41" s="10" t="n"/>
      <c r="K41" s="10" t="n"/>
      <c r="L41" s="10" t="n"/>
      <c r="M41" s="10" t="n"/>
      <c r="N41" s="22">
        <f>IF(AND(J41&lt;&gt;"",M41&lt;&gt;""),J41+M41,"")</f>
        <v/>
      </c>
      <c r="O41" s="10" t="n"/>
      <c r="P41" s="10" t="n"/>
      <c r="Q41" s="10" t="n"/>
      <c r="R41" s="10" t="n"/>
      <c r="S41" s="10" t="n"/>
    </row>
    <row r="42">
      <c r="A42" s="10" t="inlineStr">
        <is>
          <t>SAL-039</t>
        </is>
      </c>
      <c r="B42" s="10" t="n"/>
      <c r="C42" s="10" t="n"/>
      <c r="D42" s="10" t="n"/>
      <c r="E42" s="10" t="n"/>
      <c r="F42" s="10" t="n"/>
      <c r="G42" s="10" t="n"/>
      <c r="H42" s="10" t="n"/>
      <c r="I42" s="10" t="n"/>
      <c r="J42" s="10" t="n"/>
      <c r="K42" s="10" t="n"/>
      <c r="L42" s="10" t="n"/>
      <c r="M42" s="10" t="n"/>
      <c r="N42" s="22">
        <f>IF(AND(J42&lt;&gt;"",M42&lt;&gt;""),J42+M42,"")</f>
        <v/>
      </c>
      <c r="O42" s="10" t="n"/>
      <c r="P42" s="10" t="n"/>
      <c r="Q42" s="10" t="n"/>
      <c r="R42" s="10" t="n"/>
      <c r="S42" s="10" t="n"/>
    </row>
    <row r="43">
      <c r="A43" s="10" t="inlineStr">
        <is>
          <t>SAL-040</t>
        </is>
      </c>
      <c r="B43" s="10" t="n"/>
      <c r="C43" s="10" t="n"/>
      <c r="D43" s="10" t="n"/>
      <c r="E43" s="10" t="n"/>
      <c r="F43" s="10" t="n"/>
      <c r="G43" s="10" t="n"/>
      <c r="H43" s="10" t="n"/>
      <c r="I43" s="10" t="n"/>
      <c r="J43" s="10" t="n"/>
      <c r="K43" s="10" t="n"/>
      <c r="L43" s="10" t="n"/>
      <c r="M43" s="10" t="n"/>
      <c r="N43" s="22">
        <f>IF(AND(J43&lt;&gt;"",M43&lt;&gt;""),J43+M43,"")</f>
        <v/>
      </c>
      <c r="O43" s="10" t="n"/>
      <c r="P43" s="10" t="n"/>
      <c r="Q43" s="10" t="n"/>
      <c r="R43" s="10" t="n"/>
      <c r="S43" s="10" t="n"/>
    </row>
    <row r="44">
      <c r="A44" s="10" t="inlineStr">
        <is>
          <t>SAL-041</t>
        </is>
      </c>
      <c r="B44" s="10" t="n"/>
      <c r="C44" s="10" t="n"/>
      <c r="D44" s="10" t="n"/>
      <c r="E44" s="10" t="n"/>
      <c r="F44" s="10" t="n"/>
      <c r="G44" s="10" t="n"/>
      <c r="H44" s="10" t="n"/>
      <c r="I44" s="10" t="n"/>
      <c r="J44" s="10" t="n"/>
      <c r="K44" s="10" t="n"/>
      <c r="L44" s="10" t="n"/>
      <c r="M44" s="10" t="n"/>
      <c r="N44" s="22">
        <f>IF(AND(J44&lt;&gt;"",M44&lt;&gt;""),J44+M44,"")</f>
        <v/>
      </c>
      <c r="O44" s="10" t="n"/>
      <c r="P44" s="10" t="n"/>
      <c r="Q44" s="10" t="n"/>
      <c r="R44" s="10" t="n"/>
      <c r="S44" s="10" t="n"/>
    </row>
    <row r="45">
      <c r="A45" s="10" t="inlineStr">
        <is>
          <t>SAL-042</t>
        </is>
      </c>
      <c r="B45" s="10" t="n"/>
      <c r="C45" s="10" t="n"/>
      <c r="D45" s="10" t="n"/>
      <c r="E45" s="10" t="n"/>
      <c r="F45" s="10" t="n"/>
      <c r="G45" s="10" t="n"/>
      <c r="H45" s="10" t="n"/>
      <c r="I45" s="10" t="n"/>
      <c r="J45" s="10" t="n"/>
      <c r="K45" s="10" t="n"/>
      <c r="L45" s="10" t="n"/>
      <c r="M45" s="10" t="n"/>
      <c r="N45" s="22">
        <f>IF(AND(J45&lt;&gt;"",M45&lt;&gt;""),J45+M45,"")</f>
        <v/>
      </c>
      <c r="O45" s="10" t="n"/>
      <c r="P45" s="10" t="n"/>
      <c r="Q45" s="10" t="n"/>
      <c r="R45" s="10" t="n"/>
      <c r="S45" s="10" t="n"/>
    </row>
    <row r="46">
      <c r="A46" s="10" t="inlineStr">
        <is>
          <t>SAL-043</t>
        </is>
      </c>
      <c r="B46" s="10" t="n"/>
      <c r="C46" s="10" t="n"/>
      <c r="D46" s="10" t="n"/>
      <c r="E46" s="10" t="n"/>
      <c r="F46" s="10" t="n"/>
      <c r="G46" s="10" t="n"/>
      <c r="H46" s="10" t="n"/>
      <c r="I46" s="10" t="n"/>
      <c r="J46" s="10" t="n"/>
      <c r="K46" s="10" t="n"/>
      <c r="L46" s="10" t="n"/>
      <c r="M46" s="10" t="n"/>
      <c r="N46" s="22">
        <f>IF(AND(J46&lt;&gt;"",M46&lt;&gt;""),J46+M46,"")</f>
        <v/>
      </c>
      <c r="O46" s="10" t="n"/>
      <c r="P46" s="10" t="n"/>
      <c r="Q46" s="10" t="n"/>
      <c r="R46" s="10" t="n"/>
      <c r="S46" s="10" t="n"/>
    </row>
    <row r="47">
      <c r="A47" s="10" t="inlineStr">
        <is>
          <t>SAL-044</t>
        </is>
      </c>
      <c r="B47" s="10" t="n"/>
      <c r="C47" s="10" t="n"/>
      <c r="D47" s="10" t="n"/>
      <c r="E47" s="10" t="n"/>
      <c r="F47" s="10" t="n"/>
      <c r="G47" s="10" t="n"/>
      <c r="H47" s="10" t="n"/>
      <c r="I47" s="10" t="n"/>
      <c r="J47" s="10" t="n"/>
      <c r="K47" s="10" t="n"/>
      <c r="L47" s="10" t="n"/>
      <c r="M47" s="10" t="n"/>
      <c r="N47" s="22">
        <f>IF(AND(J47&lt;&gt;"",M47&lt;&gt;""),J47+M47,"")</f>
        <v/>
      </c>
      <c r="O47" s="10" t="n"/>
      <c r="P47" s="10" t="n"/>
      <c r="Q47" s="10" t="n"/>
      <c r="R47" s="10" t="n"/>
      <c r="S47" s="10" t="n"/>
    </row>
    <row r="48">
      <c r="A48" s="10" t="inlineStr">
        <is>
          <t>SAL-045</t>
        </is>
      </c>
      <c r="B48" s="10" t="n"/>
      <c r="C48" s="10" t="n"/>
      <c r="D48" s="10" t="n"/>
      <c r="E48" s="10" t="n"/>
      <c r="F48" s="10" t="n"/>
      <c r="G48" s="10" t="n"/>
      <c r="H48" s="10" t="n"/>
      <c r="I48" s="10" t="n"/>
      <c r="J48" s="10" t="n"/>
      <c r="K48" s="10" t="n"/>
      <c r="L48" s="10" t="n"/>
      <c r="M48" s="10" t="n"/>
      <c r="N48" s="22">
        <f>IF(AND(J48&lt;&gt;"",M48&lt;&gt;""),J48+M48,"")</f>
        <v/>
      </c>
      <c r="O48" s="10" t="n"/>
      <c r="P48" s="10" t="n"/>
      <c r="Q48" s="10" t="n"/>
      <c r="R48" s="10" t="n"/>
      <c r="S48" s="10" t="n"/>
    </row>
    <row r="49">
      <c r="A49" s="10" t="inlineStr">
        <is>
          <t>SAL-046</t>
        </is>
      </c>
      <c r="B49" s="10" t="n"/>
      <c r="C49" s="10" t="n"/>
      <c r="D49" s="10" t="n"/>
      <c r="E49" s="10" t="n"/>
      <c r="F49" s="10" t="n"/>
      <c r="G49" s="10" t="n"/>
      <c r="H49" s="10" t="n"/>
      <c r="I49" s="10" t="n"/>
      <c r="J49" s="10" t="n"/>
      <c r="K49" s="10" t="n"/>
      <c r="L49" s="10" t="n"/>
      <c r="M49" s="10" t="n"/>
      <c r="N49" s="22">
        <f>IF(AND(J49&lt;&gt;"",M49&lt;&gt;""),J49+M49,"")</f>
        <v/>
      </c>
      <c r="O49" s="10" t="n"/>
      <c r="P49" s="10" t="n"/>
      <c r="Q49" s="10" t="n"/>
      <c r="R49" s="10" t="n"/>
      <c r="S49" s="10" t="n"/>
    </row>
    <row r="50">
      <c r="A50" s="10" t="inlineStr">
        <is>
          <t>SAL-047</t>
        </is>
      </c>
      <c r="B50" s="10" t="n"/>
      <c r="C50" s="10" t="n"/>
      <c r="D50" s="10" t="n"/>
      <c r="E50" s="10" t="n"/>
      <c r="F50" s="10" t="n"/>
      <c r="G50" s="10" t="n"/>
      <c r="H50" s="10" t="n"/>
      <c r="I50" s="10" t="n"/>
      <c r="J50" s="10" t="n"/>
      <c r="K50" s="10" t="n"/>
      <c r="L50" s="10" t="n"/>
      <c r="M50" s="10" t="n"/>
      <c r="N50" s="22">
        <f>IF(AND(J50&lt;&gt;"",M50&lt;&gt;""),J50+M50,"")</f>
        <v/>
      </c>
      <c r="O50" s="10" t="n"/>
      <c r="P50" s="10" t="n"/>
      <c r="Q50" s="10" t="n"/>
      <c r="R50" s="10" t="n"/>
      <c r="S50" s="10" t="n"/>
    </row>
    <row r="51">
      <c r="A51" s="10" t="inlineStr">
        <is>
          <t>SAL-048</t>
        </is>
      </c>
      <c r="B51" s="10" t="n"/>
      <c r="C51" s="10" t="n"/>
      <c r="D51" s="10" t="n"/>
      <c r="E51" s="10" t="n"/>
      <c r="F51" s="10" t="n"/>
      <c r="G51" s="10" t="n"/>
      <c r="H51" s="10" t="n"/>
      <c r="I51" s="10" t="n"/>
      <c r="J51" s="10" t="n"/>
      <c r="K51" s="10" t="n"/>
      <c r="L51" s="10" t="n"/>
      <c r="M51" s="10" t="n"/>
      <c r="N51" s="22">
        <f>IF(AND(J51&lt;&gt;"",M51&lt;&gt;""),J51+M51,"")</f>
        <v/>
      </c>
      <c r="O51" s="10" t="n"/>
      <c r="P51" s="10" t="n"/>
      <c r="Q51" s="10" t="n"/>
      <c r="R51" s="10" t="n"/>
      <c r="S51" s="10" t="n"/>
    </row>
    <row r="52">
      <c r="A52" s="10" t="inlineStr">
        <is>
          <t>SAL-049</t>
        </is>
      </c>
      <c r="B52" s="10" t="n"/>
      <c r="C52" s="10" t="n"/>
      <c r="D52" s="10" t="n"/>
      <c r="E52" s="10" t="n"/>
      <c r="F52" s="10" t="n"/>
      <c r="G52" s="10" t="n"/>
      <c r="H52" s="10" t="n"/>
      <c r="I52" s="10" t="n"/>
      <c r="J52" s="10" t="n"/>
      <c r="K52" s="10" t="n"/>
      <c r="L52" s="10" t="n"/>
      <c r="M52" s="10" t="n"/>
      <c r="N52" s="22">
        <f>IF(AND(J52&lt;&gt;"",M52&lt;&gt;""),J52+M52,"")</f>
        <v/>
      </c>
      <c r="O52" s="10" t="n"/>
      <c r="P52" s="10" t="n"/>
      <c r="Q52" s="10" t="n"/>
      <c r="R52" s="10" t="n"/>
      <c r="S52" s="10" t="n"/>
    </row>
    <row r="53">
      <c r="A53" s="10" t="inlineStr">
        <is>
          <t>SAL-050</t>
        </is>
      </c>
      <c r="B53" s="10" t="n"/>
      <c r="C53" s="10" t="n"/>
      <c r="D53" s="10" t="n"/>
      <c r="E53" s="10" t="n"/>
      <c r="F53" s="10" t="n"/>
      <c r="G53" s="10" t="n"/>
      <c r="H53" s="10" t="n"/>
      <c r="I53" s="10" t="n"/>
      <c r="J53" s="10" t="n"/>
      <c r="K53" s="10" t="n"/>
      <c r="L53" s="10" t="n"/>
      <c r="M53" s="10" t="n"/>
      <c r="N53" s="22">
        <f>IF(AND(J53&lt;&gt;"",M53&lt;&gt;""),J53+M53,"")</f>
        <v/>
      </c>
      <c r="O53" s="10" t="n"/>
      <c r="P53" s="10" t="n"/>
      <c r="Q53" s="10" t="n"/>
      <c r="R53" s="10" t="n"/>
      <c r="S53" s="10" t="n"/>
    </row>
    <row r="54">
      <c r="A54" s="10" t="inlineStr">
        <is>
          <t>SAL-051</t>
        </is>
      </c>
      <c r="B54" s="10" t="n"/>
      <c r="C54" s="10" t="n"/>
      <c r="D54" s="10" t="n"/>
      <c r="E54" s="10" t="n"/>
      <c r="F54" s="10" t="n"/>
      <c r="G54" s="10" t="n"/>
      <c r="H54" s="10" t="n"/>
      <c r="I54" s="10" t="n"/>
      <c r="J54" s="10" t="n"/>
      <c r="K54" s="10" t="n"/>
      <c r="L54" s="10" t="n"/>
      <c r="M54" s="10" t="n"/>
      <c r="N54" s="22">
        <f>IF(AND(J54&lt;&gt;"",M54&lt;&gt;""),J54+M54,"")</f>
        <v/>
      </c>
      <c r="O54" s="10" t="n"/>
      <c r="P54" s="10" t="n"/>
      <c r="Q54" s="10" t="n"/>
      <c r="R54" s="10" t="n"/>
      <c r="S54" s="10" t="n"/>
    </row>
    <row r="55">
      <c r="A55" s="10" t="inlineStr">
        <is>
          <t>SAL-052</t>
        </is>
      </c>
      <c r="B55" s="10" t="n"/>
      <c r="C55" s="10" t="n"/>
      <c r="D55" s="10" t="n"/>
      <c r="E55" s="10" t="n"/>
      <c r="F55" s="10" t="n"/>
      <c r="G55" s="10" t="n"/>
      <c r="H55" s="10" t="n"/>
      <c r="I55" s="10" t="n"/>
      <c r="J55" s="10" t="n"/>
      <c r="K55" s="10" t="n"/>
      <c r="L55" s="10" t="n"/>
      <c r="M55" s="10" t="n"/>
      <c r="N55" s="22">
        <f>IF(AND(J55&lt;&gt;"",M55&lt;&gt;""),J55+M55,"")</f>
        <v/>
      </c>
      <c r="O55" s="10" t="n"/>
      <c r="P55" s="10" t="n"/>
      <c r="Q55" s="10" t="n"/>
      <c r="R55" s="10" t="n"/>
      <c r="S55" s="10" t="n"/>
    </row>
    <row r="56">
      <c r="A56" s="10" t="inlineStr">
        <is>
          <t>SAL-053</t>
        </is>
      </c>
      <c r="B56" s="10" t="n"/>
      <c r="C56" s="10" t="n"/>
      <c r="D56" s="10" t="n"/>
      <c r="E56" s="10" t="n"/>
      <c r="F56" s="10" t="n"/>
      <c r="G56" s="10" t="n"/>
      <c r="H56" s="10" t="n"/>
      <c r="I56" s="10" t="n"/>
      <c r="J56" s="10" t="n"/>
      <c r="K56" s="10" t="n"/>
      <c r="L56" s="10" t="n"/>
      <c r="M56" s="10" t="n"/>
      <c r="N56" s="22">
        <f>IF(AND(J56&lt;&gt;"",M56&lt;&gt;""),J56+M56,"")</f>
        <v/>
      </c>
      <c r="O56" s="10" t="n"/>
      <c r="P56" s="10" t="n"/>
      <c r="Q56" s="10" t="n"/>
      <c r="R56" s="10" t="n"/>
      <c r="S56" s="10" t="n"/>
    </row>
    <row r="57">
      <c r="A57" s="10" t="inlineStr">
        <is>
          <t>SAL-054</t>
        </is>
      </c>
      <c r="B57" s="10" t="n"/>
      <c r="C57" s="10" t="n"/>
      <c r="D57" s="10" t="n"/>
      <c r="E57" s="10" t="n"/>
      <c r="F57" s="10" t="n"/>
      <c r="G57" s="10" t="n"/>
      <c r="H57" s="10" t="n"/>
      <c r="I57" s="10" t="n"/>
      <c r="J57" s="10" t="n"/>
      <c r="K57" s="10" t="n"/>
      <c r="L57" s="10" t="n"/>
      <c r="M57" s="10" t="n"/>
      <c r="N57" s="22">
        <f>IF(AND(J57&lt;&gt;"",M57&lt;&gt;""),J57+M57,"")</f>
        <v/>
      </c>
      <c r="O57" s="10" t="n"/>
      <c r="P57" s="10" t="n"/>
      <c r="Q57" s="10" t="n"/>
      <c r="R57" s="10" t="n"/>
      <c r="S57" s="10" t="n"/>
    </row>
    <row r="58">
      <c r="A58" s="10" t="inlineStr">
        <is>
          <t>SAL-055</t>
        </is>
      </c>
      <c r="B58" s="10" t="n"/>
      <c r="C58" s="10" t="n"/>
      <c r="D58" s="10" t="n"/>
      <c r="E58" s="10" t="n"/>
      <c r="F58" s="10" t="n"/>
      <c r="G58" s="10" t="n"/>
      <c r="H58" s="10" t="n"/>
      <c r="I58" s="10" t="n"/>
      <c r="J58" s="10" t="n"/>
      <c r="K58" s="10" t="n"/>
      <c r="L58" s="10" t="n"/>
      <c r="M58" s="10" t="n"/>
      <c r="N58" s="22">
        <f>IF(AND(J58&lt;&gt;"",M58&lt;&gt;""),J58+M58,"")</f>
        <v/>
      </c>
      <c r="O58" s="10" t="n"/>
      <c r="P58" s="10" t="n"/>
      <c r="Q58" s="10" t="n"/>
      <c r="R58" s="10" t="n"/>
      <c r="S58" s="10" t="n"/>
    </row>
    <row r="59">
      <c r="A59" s="10" t="inlineStr">
        <is>
          <t>SAL-056</t>
        </is>
      </c>
      <c r="B59" s="10" t="n"/>
      <c r="C59" s="10" t="n"/>
      <c r="D59" s="10" t="n"/>
      <c r="E59" s="10" t="n"/>
      <c r="F59" s="10" t="n"/>
      <c r="G59" s="10" t="n"/>
      <c r="H59" s="10" t="n"/>
      <c r="I59" s="10" t="n"/>
      <c r="J59" s="10" t="n"/>
      <c r="K59" s="10" t="n"/>
      <c r="L59" s="10" t="n"/>
      <c r="M59" s="10" t="n"/>
      <c r="N59" s="22">
        <f>IF(AND(J59&lt;&gt;"",M59&lt;&gt;""),J59+M59,"")</f>
        <v/>
      </c>
      <c r="O59" s="10" t="n"/>
      <c r="P59" s="10" t="n"/>
      <c r="Q59" s="10" t="n"/>
      <c r="R59" s="10" t="n"/>
      <c r="S59" s="10" t="n"/>
    </row>
    <row r="60">
      <c r="A60" s="10" t="inlineStr">
        <is>
          <t>SAL-057</t>
        </is>
      </c>
      <c r="B60" s="10" t="n"/>
      <c r="C60" s="10" t="n"/>
      <c r="D60" s="10" t="n"/>
      <c r="E60" s="10" t="n"/>
      <c r="F60" s="10" t="n"/>
      <c r="G60" s="10" t="n"/>
      <c r="H60" s="10" t="n"/>
      <c r="I60" s="10" t="n"/>
      <c r="J60" s="10" t="n"/>
      <c r="K60" s="10" t="n"/>
      <c r="L60" s="10" t="n"/>
      <c r="M60" s="10" t="n"/>
      <c r="N60" s="22">
        <f>IF(AND(J60&lt;&gt;"",M60&lt;&gt;""),J60+M60,"")</f>
        <v/>
      </c>
      <c r="O60" s="10" t="n"/>
      <c r="P60" s="10" t="n"/>
      <c r="Q60" s="10" t="n"/>
      <c r="R60" s="10" t="n"/>
      <c r="S60" s="10" t="n"/>
    </row>
    <row r="61">
      <c r="A61" s="10" t="inlineStr">
        <is>
          <t>SAL-058</t>
        </is>
      </c>
      <c r="B61" s="10" t="n"/>
      <c r="C61" s="10" t="n"/>
      <c r="D61" s="10" t="n"/>
      <c r="E61" s="10" t="n"/>
      <c r="F61" s="10" t="n"/>
      <c r="G61" s="10" t="n"/>
      <c r="H61" s="10" t="n"/>
      <c r="I61" s="10" t="n"/>
      <c r="J61" s="10" t="n"/>
      <c r="K61" s="10" t="n"/>
      <c r="L61" s="10" t="n"/>
      <c r="M61" s="10" t="n"/>
      <c r="N61" s="22">
        <f>IF(AND(J61&lt;&gt;"",M61&lt;&gt;""),J61+M61,"")</f>
        <v/>
      </c>
      <c r="O61" s="10" t="n"/>
      <c r="P61" s="10" t="n"/>
      <c r="Q61" s="10" t="n"/>
      <c r="R61" s="10" t="n"/>
      <c r="S61" s="10" t="n"/>
    </row>
    <row r="62">
      <c r="A62" s="10" t="inlineStr">
        <is>
          <t>SAL-059</t>
        </is>
      </c>
      <c r="B62" s="10" t="n"/>
      <c r="C62" s="10" t="n"/>
      <c r="D62" s="10" t="n"/>
      <c r="E62" s="10" t="n"/>
      <c r="F62" s="10" t="n"/>
      <c r="G62" s="10" t="n"/>
      <c r="H62" s="10" t="n"/>
      <c r="I62" s="10" t="n"/>
      <c r="J62" s="10" t="n"/>
      <c r="K62" s="10" t="n"/>
      <c r="L62" s="10" t="n"/>
      <c r="M62" s="10" t="n"/>
      <c r="N62" s="22">
        <f>IF(AND(J62&lt;&gt;"",M62&lt;&gt;""),J62+M62,"")</f>
        <v/>
      </c>
      <c r="O62" s="10" t="n"/>
      <c r="P62" s="10" t="n"/>
      <c r="Q62" s="10" t="n"/>
      <c r="R62" s="10" t="n"/>
      <c r="S62" s="10" t="n"/>
    </row>
    <row r="63">
      <c r="A63" s="10" t="inlineStr">
        <is>
          <t>SAL-060</t>
        </is>
      </c>
      <c r="B63" s="10" t="n"/>
      <c r="C63" s="10" t="n"/>
      <c r="D63" s="10" t="n"/>
      <c r="E63" s="10" t="n"/>
      <c r="F63" s="10" t="n"/>
      <c r="G63" s="10" t="n"/>
      <c r="H63" s="10" t="n"/>
      <c r="I63" s="10" t="n"/>
      <c r="J63" s="10" t="n"/>
      <c r="K63" s="10" t="n"/>
      <c r="L63" s="10" t="n"/>
      <c r="M63" s="10" t="n"/>
      <c r="N63" s="22">
        <f>IF(AND(J63&lt;&gt;"",M63&lt;&gt;""),J63+M63,"")</f>
        <v/>
      </c>
      <c r="O63" s="10" t="n"/>
      <c r="P63" s="10" t="n"/>
      <c r="Q63" s="10" t="n"/>
      <c r="R63" s="10" t="n"/>
      <c r="S63" s="10" t="n"/>
    </row>
    <row r="64">
      <c r="A64" s="10" t="inlineStr">
        <is>
          <t>SAL-061</t>
        </is>
      </c>
      <c r="B64" s="10" t="n"/>
      <c r="C64" s="10" t="n"/>
      <c r="D64" s="10" t="n"/>
      <c r="E64" s="10" t="n"/>
      <c r="F64" s="10" t="n"/>
      <c r="G64" s="10" t="n"/>
      <c r="H64" s="10" t="n"/>
      <c r="I64" s="10" t="n"/>
      <c r="J64" s="10" t="n"/>
      <c r="K64" s="10" t="n"/>
      <c r="L64" s="10" t="n"/>
      <c r="M64" s="10" t="n"/>
      <c r="N64" s="22">
        <f>IF(AND(J64&lt;&gt;"",M64&lt;&gt;""),J64+M64,"")</f>
        <v/>
      </c>
      <c r="O64" s="10" t="n"/>
      <c r="P64" s="10" t="n"/>
      <c r="Q64" s="10" t="n"/>
      <c r="R64" s="10" t="n"/>
      <c r="S64" s="10" t="n"/>
    </row>
    <row r="66">
      <c r="A66" s="3" t="inlineStr">
        <is>
          <t>BROADCAST PLAYBOOK</t>
        </is>
      </c>
    </row>
    <row r="67" ht="30" customHeight="1">
      <c r="A67" s="9" t="inlineStr">
        <is>
          <t>Trigger</t>
        </is>
      </c>
      <c r="B67" s="9" t="inlineStr">
        <is>
          <t>Channel</t>
        </is>
      </c>
      <c r="C67" s="9" t="inlineStr">
        <is>
          <t>Timing</t>
        </is>
      </c>
      <c r="D67" s="9" t="inlineStr">
        <is>
          <t>Message shape</t>
        </is>
      </c>
      <c r="E67" s="9" t="inlineStr">
        <is>
          <t>Why it works</t>
        </is>
      </c>
    </row>
    <row r="68" ht="30" customHeight="1">
      <c r="A68" s="8" t="inlineStr">
        <is>
          <t>New product landed</t>
        </is>
      </c>
      <c r="B68" s="8" t="inlineStr">
        <is>
          <t>Viber broadcast + FB group</t>
        </is>
      </c>
      <c r="C68" s="8" t="inlineStr">
        <is>
          <t>Within 48h of stock arriving</t>
        </is>
      </c>
      <c r="D68" s="8" t="inlineStr">
        <is>
          <t>Photo + one-line spec + salon price + "reply 1 to reserve"</t>
        </is>
      </c>
      <c r="E68" s="8" t="inlineStr">
        <is>
          <t>Your list already trusts you. First-mover access is the perk of being on it.</t>
        </is>
      </c>
    </row>
    <row r="69" ht="30" customHeight="1">
      <c r="A69" s="8" t="inlineStr">
        <is>
          <t>Restock of a fast mover</t>
        </is>
      </c>
      <c r="B69" s="8" t="inlineStr">
        <is>
          <t>Viber broadcast</t>
        </is>
      </c>
      <c r="C69" s="8" t="inlineStr">
        <is>
          <t>Same day stock lands</t>
        </is>
      </c>
      <c r="D69" s="8" t="inlineStr">
        <is>
          <t>Short: "Gleam 3.0 back in stock, 12 pcs only, salon price inside"</t>
        </is>
      </c>
      <c r="E69" s="8" t="inlineStr">
        <is>
          <t>Scarcity that is true. Never fake the count.</t>
        </is>
      </c>
    </row>
    <row r="70" ht="30" customHeight="1">
      <c r="A70" s="8" t="inlineStr">
        <is>
          <t>Festival offer</t>
        </is>
      </c>
      <c r="B70" s="8" t="inlineStr">
        <is>
          <t>Viber + SMS + FB</t>
        </is>
      </c>
      <c r="C70" s="8" t="inlineStr">
        <is>
          <t>2 weeks before Teej / Dashain / Tihar</t>
        </is>
      </c>
      <c r="D70" s="8" t="inlineStr">
        <is>
          <t>Bundle price, valid dates, delivery cut-off</t>
        </is>
      </c>
      <c r="E70" s="8" t="inlineStr">
        <is>
          <t>Parlours stock up ahead of their own peak. Beat the rush, not the price.</t>
        </is>
      </c>
    </row>
    <row r="71" ht="30" customHeight="1">
      <c r="A71" s="8" t="inlineStr">
        <is>
          <t>Reorder nudge</t>
        </is>
      </c>
      <c r="B71" s="8" t="inlineStr">
        <is>
          <t>Direct message, not broadcast</t>
        </is>
      </c>
      <c r="C71" s="8" t="inlineStr">
        <is>
          <t>At Next Nudge Due (column N)</t>
        </is>
      </c>
      <c r="D71" s="8" t="inlineStr">
        <is>
          <t>Named, personal: "Last time you took 6 dryers on &lt;date&gt;, running low?"</t>
        </is>
      </c>
      <c r="E71" s="8" t="inlineStr">
        <is>
          <t>A broadcast is marketing; a named nudge is service. Keep them separate.</t>
        </is>
      </c>
    </row>
    <row r="72" ht="30" customHeight="1">
      <c r="A72" s="8" t="inlineStr">
        <is>
          <t>Fit-out opportunity</t>
        </is>
      </c>
      <c r="B72" s="8" t="inlineStr">
        <is>
          <t>Phone call, then visit</t>
        </is>
      </c>
      <c r="C72" s="8" t="inlineStr">
        <is>
          <t>When a salon adds chairs or moves</t>
        </is>
      </c>
      <c r="D72" s="8" t="inlineStr">
        <is>
          <t>No price on the phone. Book the visit and measure.</t>
        </is>
      </c>
      <c r="E72" s="8" t="inlineStr">
        <is>
          <t>Furniture is the profit line and it never closes over text.</t>
        </is>
      </c>
    </row>
    <row r="73" ht="30" customHeight="1">
      <c r="A73" s="8" t="inlineStr">
        <is>
          <t>Training / demo day</t>
        </is>
      </c>
      <c r="B73" s="8" t="inlineStr">
        <is>
          <t>Viber + FB event</t>
        </is>
      </c>
      <c r="C73" s="8" t="inlineStr">
        <is>
          <t>Quarterly</t>
        </is>
      </c>
      <c r="D73" s="8" t="inlineStr">
        <is>
          <t>Free technique session, new tools on the table</t>
        </is>
      </c>
      <c r="E73" s="8" t="inlineStr">
        <is>
          <t>Turns a supplier relationship into a community. This is the real moat.</t>
        </is>
      </c>
    </row>
  </sheetData>
  <autoFilter ref="A4:S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34" customWidth="1" min="3" max="3"/>
    <col width="44" customWidth="1" min="4" max="4"/>
    <col width="40" customWidth="1" min="5" max="5"/>
  </cols>
  <sheetData>
    <row r="1" ht="24" customHeight="1">
      <c r="A1" s="1" t="inlineStr">
        <is>
          <t>CHANNEL &amp; PAYMENT REALITY FOR NEPAL</t>
        </is>
      </c>
    </row>
    <row r="2" ht="15.75" customHeight="1">
      <c r="A2" s="2" t="inlineStr">
        <is>
          <t>What actually works for a Nepal-registered seller. Confirm anything marked CONFIRM before you build a process on it.</t>
        </is>
      </c>
    </row>
    <row r="4" ht="30" customHeight="1">
      <c r="A4" s="9" t="inlineStr">
        <is>
          <t>Channel</t>
        </is>
      </c>
      <c r="B4" s="9" t="inlineStr">
        <is>
          <t>Works in Nepal?</t>
        </is>
      </c>
      <c r="C4" s="9" t="inlineStr">
        <is>
          <t>How money reaches you</t>
        </is>
      </c>
      <c r="D4" s="9" t="inlineStr">
        <is>
          <t>Blocker or condition</t>
        </is>
      </c>
      <c r="E4" s="9" t="inlineStr">
        <is>
          <t>Verdict</t>
        </is>
      </c>
    </row>
    <row r="5" ht="30" customHeight="1">
      <c r="A5" s="8" t="inlineStr">
        <is>
          <t>Cash on delivery</t>
        </is>
      </c>
      <c r="B5" s="6" t="inlineStr">
        <is>
          <t>Yes</t>
        </is>
      </c>
      <c r="C5" s="8" t="inlineStr">
        <is>
          <t>Courier remits collected cash</t>
        </is>
      </c>
      <c r="D5" s="8" t="inlineStr">
        <is>
          <t>Refusal rate at the door; cash float tied up in transit</t>
        </is>
      </c>
      <c r="E5" s="8" t="inlineStr">
        <is>
          <t>Default for D2C. Budget the return rate in Unit Economics - do not pretend it is zero.</t>
        </is>
      </c>
    </row>
    <row r="6" ht="30" customHeight="1">
      <c r="A6" s="8" t="inlineStr">
        <is>
          <t>eSewa</t>
        </is>
      </c>
      <c r="B6" s="6" t="inlineStr">
        <is>
          <t>Yes</t>
        </is>
      </c>
      <c r="C6" s="8" t="inlineStr">
        <is>
          <t>Settles to your bank</t>
        </is>
      </c>
      <c r="D6" s="8" t="inlineStr">
        <is>
          <t>Merchant account needs PAN and bank details</t>
        </is>
      </c>
      <c r="E6" s="8" t="inlineStr">
        <is>
          <t>Add it. Removes COD refusal risk on prepaid orders.</t>
        </is>
      </c>
    </row>
    <row r="7" ht="30" customHeight="1">
      <c r="A7" s="8" t="inlineStr">
        <is>
          <t>Khalti</t>
        </is>
      </c>
      <c r="B7" s="6" t="inlineStr">
        <is>
          <t>Yes</t>
        </is>
      </c>
      <c r="C7" s="8" t="inlineStr">
        <is>
          <t>Settles to your bank</t>
        </is>
      </c>
      <c r="D7" s="8" t="inlineStr">
        <is>
          <t>Merchant onboarding + KYC</t>
        </is>
      </c>
      <c r="E7" s="8" t="inlineStr">
        <is>
          <t>Add alongside eSewa. Between them you cover most wallet users.</t>
        </is>
      </c>
    </row>
    <row r="8" ht="30" customHeight="1">
      <c r="A8" s="8" t="inlineStr">
        <is>
          <t>Fonepay / ConnectIPS</t>
        </is>
      </c>
      <c r="B8" s="6" t="inlineStr">
        <is>
          <t>Yes</t>
        </is>
      </c>
      <c r="C8" s="8" t="inlineStr">
        <is>
          <t>Bank transfer rails</t>
        </is>
      </c>
      <c r="D8" s="8" t="inlineStr">
        <is>
          <t>Bank-side onboarding</t>
        </is>
      </c>
      <c r="E8" s="8" t="inlineStr">
        <is>
          <t>Good for B2B invoices where amounts are large.</t>
        </is>
      </c>
    </row>
    <row r="9" ht="30" customHeight="1">
      <c r="A9" s="8" t="inlineStr">
        <is>
          <t>Bank transfer</t>
        </is>
      </c>
      <c r="B9" s="6" t="inlineStr">
        <is>
          <t>Yes</t>
        </is>
      </c>
      <c r="C9" s="8" t="inlineStr">
        <is>
          <t>Direct to account</t>
        </is>
      </c>
      <c r="D9" s="8" t="inlineStr">
        <is>
          <t>Manual reconciliation</t>
        </is>
      </c>
      <c r="E9" s="8" t="inlineStr">
        <is>
          <t>Standard for salon fit-outs. Attach the invoice number to every transfer.</t>
        </is>
      </c>
    </row>
    <row r="10" ht="30" customHeight="1">
      <c r="A10" s="8" t="inlineStr">
        <is>
          <t>Daraz marketplace</t>
        </is>
      </c>
      <c r="B10" s="6" t="inlineStr">
        <is>
          <t>Yes</t>
        </is>
      </c>
      <c r="C10" s="8" t="inlineStr">
        <is>
          <t>Daraz payout to bank</t>
        </is>
      </c>
      <c r="D10" s="8" t="inlineStr">
        <is>
          <t>Commission plus ~1.25% payout fee; buyer belongs to Daraz</t>
        </is>
      </c>
      <c r="E10" s="8" t="inlineStr">
        <is>
          <t>Use it for discovery on price-transparent tools. Migrate repeat buyers to your own channel.</t>
        </is>
      </c>
    </row>
    <row r="11" ht="30" customHeight="1">
      <c r="A11" s="8" t="inlineStr">
        <is>
          <t>TikTok organic</t>
        </is>
      </c>
      <c r="B11" s="6" t="inlineStr">
        <is>
          <t>Yes</t>
        </is>
      </c>
      <c r="C11" s="8" t="inlineStr">
        <is>
          <t>n/a - traffic only</t>
        </is>
      </c>
      <c r="D11" s="8" t="inlineStr">
        <is>
          <t>TikTok Shop and creator monetisation not available in Nepal</t>
        </is>
      </c>
      <c r="E11" s="8" t="inlineStr">
        <is>
          <t>Your best traffic source. Convert in DM or to the website - there is no in-app checkout to rely on.</t>
        </is>
      </c>
    </row>
    <row r="12" ht="30" customHeight="1">
      <c r="A12" s="8" t="inlineStr">
        <is>
          <t>Facebook / Instagram</t>
        </is>
      </c>
      <c r="B12" s="6" t="inlineStr">
        <is>
          <t>Yes</t>
        </is>
      </c>
      <c r="C12" s="8" t="inlineStr">
        <is>
          <t>n/a - traffic only</t>
        </is>
      </c>
      <c r="D12" s="8" t="inlineStr">
        <is>
          <t>Shops checkout not available locally</t>
        </is>
      </c>
      <c r="E12" s="8" t="inlineStr">
        <is>
          <t>Catalogue + DM works. Facebook groups are where parlour owners actually talk.</t>
        </is>
      </c>
    </row>
    <row r="13" ht="30" customHeight="1">
      <c r="A13" s="8" t="inlineStr">
        <is>
          <t>Viber broadcast</t>
        </is>
      </c>
      <c r="B13" s="6" t="inlineStr">
        <is>
          <t>Yes</t>
        </is>
      </c>
      <c r="C13" s="8" t="inlineStr">
        <is>
          <t>n/a - retention channel</t>
        </is>
      </c>
      <c r="D13" s="8" t="inlineStr">
        <is>
          <t>Need opt-in and a maintained list</t>
        </is>
      </c>
      <c r="E13" s="8" t="inlineStr">
        <is>
          <t>The highest-value channel for your salon community. Nepal runs on Viber.</t>
        </is>
      </c>
    </row>
    <row r="14" ht="30" customHeight="1">
      <c r="A14" s="8" t="inlineStr">
        <is>
          <t>SMS (Sparrow or similar)</t>
        </is>
      </c>
      <c r="B14" s="6" t="inlineStr">
        <is>
          <t>Yes</t>
        </is>
      </c>
      <c r="C14" s="8" t="inlineStr">
        <is>
          <t>n/a - retention channel</t>
        </is>
      </c>
      <c r="D14" s="8" t="inlineStr">
        <is>
          <t>Per-message cost; sender ID registration</t>
        </is>
      </c>
      <c r="E14" s="8" t="inlineStr">
        <is>
          <t>Use for order status and time-critical offers only. CONFIRM current per-SMS pricing.</t>
        </is>
      </c>
    </row>
    <row r="15" ht="30" customHeight="1">
      <c r="A15" s="8" t="inlineStr">
        <is>
          <t>Stripe</t>
        </is>
      </c>
      <c r="B15" s="7" t="inlineStr">
        <is>
          <t>No</t>
        </is>
      </c>
      <c r="C15" s="8" t="inlineStr">
        <is>
          <t>Cannot receive in Nepal</t>
        </is>
      </c>
      <c r="D15" s="8" t="inlineStr">
        <is>
          <t>Nepal not a supported Stripe country</t>
        </is>
      </c>
      <c r="E15" s="8" t="inlineStr">
        <is>
          <t>Do not design the checkout around it. Same finding as the reference workbook.</t>
        </is>
      </c>
    </row>
    <row r="16" ht="30" customHeight="1">
      <c r="A16" s="8" t="inlineStr">
        <is>
          <t>PayPal</t>
        </is>
      </c>
      <c r="B16" s="7" t="inlineStr">
        <is>
          <t>No</t>
        </is>
      </c>
      <c r="C16" s="8" t="inlineStr">
        <is>
          <t>Cannot receive in Nepal</t>
        </is>
      </c>
      <c r="D16" s="8" t="inlineStr">
        <is>
          <t>NRB foreign exchange rules block inbound receipt</t>
        </is>
      </c>
      <c r="E16" s="8" t="inlineStr">
        <is>
          <t>Unavailable for collecting revenue. Relevant only if you later export.</t>
        </is>
      </c>
    </row>
  </sheetData>
  <autoFilter ref="A4:E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6" customWidth="1" min="1" max="1"/>
    <col width="20" customWidth="1" min="2" max="2"/>
    <col width="56" customWidth="1" min="3" max="3"/>
    <col width="56" customWidth="1" min="4" max="4"/>
    <col width="14" customWidth="1" min="5" max="5"/>
    <col width="40" customWidth="1" min="6" max="6"/>
    <col width="12" customWidth="1" min="7" max="7"/>
  </cols>
  <sheetData>
    <row r="1" ht="24" customHeight="1">
      <c r="A1" s="1" t="inlineStr">
        <is>
          <t>90-DAY LAUNCH PLAN</t>
        </is>
      </c>
    </row>
    <row r="2" ht="15.75" customHeight="1">
      <c r="A2" s="2" t="inlineStr">
        <is>
          <t>Sequenced so nothing waits on anything unfinished. Weeks 1-4 cost almost nothing and de-risk everything that follows.</t>
        </is>
      </c>
    </row>
    <row r="4" ht="30" customHeight="1">
      <c r="A4" s="9" t="inlineStr">
        <is>
          <t>Wk</t>
        </is>
      </c>
      <c r="B4" s="9" t="inlineStr">
        <is>
          <t>Workstream</t>
        </is>
      </c>
      <c r="C4" s="9" t="inlineStr">
        <is>
          <t>Task</t>
        </is>
      </c>
      <c r="D4" s="9" t="inlineStr">
        <is>
          <t>Why it matters</t>
        </is>
      </c>
      <c r="E4" s="9" t="inlineStr">
        <is>
          <t>Cost</t>
        </is>
      </c>
      <c r="F4" s="9" t="inlineStr">
        <is>
          <t>Success signal</t>
        </is>
      </c>
      <c r="G4" s="9" t="inlineStr">
        <is>
          <t>Status</t>
        </is>
      </c>
    </row>
    <row r="5" ht="30" customHeight="1">
      <c r="A5" s="8" t="n">
        <v>1</v>
      </c>
      <c r="B5" s="8" t="inlineStr">
        <is>
          <t>Compliance</t>
        </is>
      </c>
      <c r="C5" s="8" t="inlineStr">
        <is>
          <t>Confirm PAN/VAT status; register for VAT if not already</t>
        </is>
      </c>
      <c r="D5" s="8" t="inlineStr">
        <is>
          <t>Input VAT on imports turns 13% from a cost into a pass-through. Biggest single margin lever in this workbook.</t>
        </is>
      </c>
      <c r="E5" s="8" t="inlineStr">
        <is>
          <t>Govt fee</t>
        </is>
      </c>
      <c r="F5" s="8" t="inlineStr">
        <is>
          <t>VAT certificate in hand</t>
        </is>
      </c>
      <c r="G5" s="8" t="inlineStr">
        <is>
          <t>Not started</t>
        </is>
      </c>
    </row>
    <row r="6" ht="30" customHeight="1">
      <c r="A6" s="8" t="n">
        <v>1</v>
      </c>
      <c r="B6" s="8" t="inlineStr">
        <is>
          <t>Data</t>
        </is>
      </c>
      <c r="C6" s="8" t="inlineStr">
        <is>
          <t>Load your real supplier costs into Margin % on Product Master</t>
        </is>
      </c>
      <c r="D6" s="8" t="inlineStr">
        <is>
          <t>Every cost figure in this workbook is derived until you do this.</t>
        </is>
      </c>
      <c r="E6" s="8" t="inlineStr">
        <is>
          <t>Free</t>
        </is>
      </c>
      <c r="F6" s="8" t="inlineStr">
        <is>
          <t>Margin column reflects real invoices</t>
        </is>
      </c>
      <c r="G6" s="8" t="inlineStr">
        <is>
          <t>Not started</t>
        </is>
      </c>
    </row>
    <row r="7" ht="30" customHeight="1">
      <c r="A7" s="8" t="n">
        <v>1</v>
      </c>
      <c r="B7" s="8" t="inlineStr">
        <is>
          <t>Community</t>
        </is>
      </c>
      <c r="C7" s="8" t="inlineStr">
        <is>
          <t>Load existing parlour accounts into Salon Community CRM</t>
        </is>
      </c>
      <c r="D7" s="8" t="inlineStr">
        <is>
          <t>You already have this asset and it is currently in your head and your phone.</t>
        </is>
      </c>
      <c r="E7" s="8" t="inlineStr">
        <is>
          <t>Free</t>
        </is>
      </c>
      <c r="F7" s="8" t="inlineStr">
        <is>
          <t>20+ accounts with phone and last order</t>
        </is>
      </c>
      <c r="G7" s="8" t="inlineStr">
        <is>
          <t>Not started</t>
        </is>
      </c>
    </row>
    <row r="8" ht="30" customHeight="1">
      <c r="A8" s="8" t="n">
        <v>2</v>
      </c>
      <c r="B8" s="8" t="inlineStr">
        <is>
          <t>Community</t>
        </is>
      </c>
      <c r="C8" s="8" t="inlineStr">
        <is>
          <t>Get Viber broadcast opt-in from every existing account</t>
        </is>
      </c>
      <c r="D8" s="8" t="inlineStr">
        <is>
          <t>Owned retention channel. Costs nothing and no algorithm can take it away.</t>
        </is>
      </c>
      <c r="E8" s="8" t="inlineStr">
        <is>
          <t>Free</t>
        </is>
      </c>
      <c r="F8" s="8" t="inlineStr">
        <is>
          <t>70%+ opt-in rate</t>
        </is>
      </c>
      <c r="G8" s="8" t="inlineStr">
        <is>
          <t>Not started</t>
        </is>
      </c>
    </row>
    <row r="9" ht="30" customHeight="1">
      <c r="A9" s="8" t="n">
        <v>2</v>
      </c>
      <c r="B9" s="8" t="inlineStr">
        <is>
          <t>Content</t>
        </is>
      </c>
      <c r="C9" s="8" t="inlineStr">
        <is>
          <t>Batch-shoot day 1: 12 clips across your 4 best-selling tools</t>
        </is>
      </c>
      <c r="D9" s="8" t="inlineStr">
        <is>
          <t>One shoot day feeds four weeks of posting. Consistency beats production value.</t>
        </is>
      </c>
      <c r="E9" s="8" t="inlineStr">
        <is>
          <t>Free</t>
        </is>
      </c>
      <c r="F9" s="8" t="inlineStr">
        <is>
          <t>12 clips in the bank</t>
        </is>
      </c>
      <c r="G9" s="8" t="inlineStr">
        <is>
          <t>Not started</t>
        </is>
      </c>
    </row>
    <row r="10" ht="30" customHeight="1">
      <c r="A10" s="8" t="n">
        <v>2</v>
      </c>
      <c r="B10" s="8" t="inlineStr">
        <is>
          <t>Trust</t>
        </is>
      </c>
      <c r="C10" s="8" t="inlineStr">
        <is>
          <t>Film the authenticity proof: serial, warranty card, unboxing</t>
        </is>
      </c>
      <c r="D10" s="8" t="inlineStr">
        <is>
          <t>"Original ho?" is the number-one objection. Answer it once, reuse it forever.</t>
        </is>
      </c>
      <c r="E10" s="8" t="inlineStr">
        <is>
          <t>Free</t>
        </is>
      </c>
      <c r="F10" s="8" t="inlineStr">
        <is>
          <t>Pinned trust video on both profiles</t>
        </is>
      </c>
      <c r="G10" s="8" t="inlineStr">
        <is>
          <t>Not started</t>
        </is>
      </c>
    </row>
    <row r="11" ht="30" customHeight="1">
      <c r="A11" s="8" t="n">
        <v>3</v>
      </c>
      <c r="B11" s="8" t="inlineStr">
        <is>
          <t>Pricing</t>
        </is>
      </c>
      <c r="C11" s="8" t="inlineStr">
        <is>
          <t>Set your price ladder against verified Daraz anchors</t>
        </is>
      </c>
      <c r="D11" s="8" t="inlineStr">
        <is>
          <t>You now have real competitor prices. Stop guessing.</t>
        </is>
      </c>
      <c r="E11" s="8" t="inlineStr">
        <is>
          <t>Free</t>
        </is>
      </c>
      <c r="F11" s="8" t="inlineStr">
        <is>
          <t>Price list agreed and written down</t>
        </is>
      </c>
      <c r="G11" s="8" t="inlineStr">
        <is>
          <t>Not started</t>
        </is>
      </c>
    </row>
    <row r="12" ht="30" customHeight="1">
      <c r="A12" s="8" t="n">
        <v>3</v>
      </c>
      <c r="B12" s="8" t="inlineStr">
        <is>
          <t>Import</t>
        </is>
      </c>
      <c r="C12" s="8" t="inlineStr">
        <is>
          <t>Ask your India supplier for SAFTA certificate of origin on every PO</t>
        </is>
      </c>
      <c r="D12" s="8" t="inlineStr">
        <is>
          <t>No COO means you pay full duty. Standing condition, not a one-off request.</t>
        </is>
      </c>
      <c r="E12" s="8" t="inlineStr">
        <is>
          <t>Free</t>
        </is>
      </c>
      <c r="F12" s="8" t="inlineStr">
        <is>
          <t>COO on the next shipment</t>
        </is>
      </c>
      <c r="G12" s="8" t="inlineStr">
        <is>
          <t>Not started</t>
        </is>
      </c>
    </row>
    <row r="13" ht="30" customHeight="1">
      <c r="A13" s="8" t="n">
        <v>4</v>
      </c>
      <c r="B13" s="8" t="inlineStr">
        <is>
          <t>B2B</t>
        </is>
      </c>
      <c r="C13" s="8" t="inlineStr">
        <is>
          <t>Call the 10 highest-value salon accounts; book 3 site visits</t>
        </is>
      </c>
      <c r="D13" s="8" t="inlineStr">
        <is>
          <t>Furniture never closes over text. The visit IS the sales process.</t>
        </is>
      </c>
      <c r="E13" s="8" t="inlineStr">
        <is>
          <t>Travel</t>
        </is>
      </c>
      <c r="F13" s="8" t="inlineStr">
        <is>
          <t>3 visits booked</t>
        </is>
      </c>
      <c r="G13" s="8" t="inlineStr">
        <is>
          <t>Not started</t>
        </is>
      </c>
    </row>
    <row r="14" ht="30" customHeight="1">
      <c r="A14" s="8" t="n">
        <v>5</v>
      </c>
      <c r="B14" s="8" t="inlineStr">
        <is>
          <t>Web</t>
        </is>
      </c>
      <c r="C14" s="8" t="inlineStr">
        <is>
          <t>Hand ANTIGRAVITY_BUILD_PROMPT.md to Gemini Antigravity; ship catalogue + PDP</t>
        </is>
      </c>
      <c r="D14" s="8" t="inlineStr">
        <is>
          <t>Own the storefront before you spend on ads driving traffic to a DM inbox.</t>
        </is>
      </c>
      <c r="E14" s="8" t="inlineStr">
        <is>
          <t>Hosting</t>
        </is>
      </c>
      <c r="F14" s="8" t="inlineStr">
        <is>
          <t>Catalogue live with real SKUs</t>
        </is>
      </c>
      <c r="G14" s="8" t="inlineStr">
        <is>
          <t>Not started</t>
        </is>
      </c>
    </row>
    <row r="15" ht="30" customHeight="1">
      <c r="A15" s="8" t="n">
        <v>6</v>
      </c>
      <c r="B15" s="8" t="inlineStr">
        <is>
          <t>Web</t>
        </is>
      </c>
      <c r="C15" s="8" t="inlineStr">
        <is>
          <t>Ship COD checkout + order tracking</t>
        </is>
      </c>
      <c r="D15" s="8" t="inlineStr">
        <is>
          <t>COD is the default in Nepal. Checkout without it is decoration.</t>
        </is>
      </c>
      <c r="E15" s="8" t="inlineStr">
        <is>
          <t>Dev time</t>
        </is>
      </c>
      <c r="F15" s="8" t="inlineStr">
        <is>
          <t>First real order through the site</t>
        </is>
      </c>
      <c r="G15" s="8" t="inlineStr">
        <is>
          <t>Not started</t>
        </is>
      </c>
    </row>
    <row r="16" ht="30" customHeight="1">
      <c r="A16" s="8" t="n">
        <v>7</v>
      </c>
      <c r="B16" s="8" t="inlineStr">
        <is>
          <t>Web</t>
        </is>
      </c>
      <c r="C16" s="8" t="inlineStr">
        <is>
          <t>Ship admin: orders, COD confirmation queue, stock</t>
        </is>
      </c>
      <c r="D16" s="8" t="inlineStr">
        <is>
          <t>Manual order handling breaks at about 10 orders a day.</t>
        </is>
      </c>
      <c r="E16" s="8" t="inlineStr">
        <is>
          <t>Dev time</t>
        </is>
      </c>
      <c r="F16" s="8" t="inlineStr">
        <is>
          <t>Orders managed in admin, not in a notebook</t>
        </is>
      </c>
      <c r="G16" s="8" t="inlineStr">
        <is>
          <t>Not started</t>
        </is>
      </c>
    </row>
    <row r="17" ht="30" customHeight="1">
      <c r="A17" s="8" t="n">
        <v>8</v>
      </c>
      <c r="B17" s="8" t="inlineStr">
        <is>
          <t>Payments</t>
        </is>
      </c>
      <c r="C17" s="8" t="inlineStr">
        <is>
          <t>Add eSewa + Khalti</t>
        </is>
      </c>
      <c r="D17" s="8" t="inlineStr">
        <is>
          <t>Prepaid orders have no refusal risk. Every prepaid order is a saved return.</t>
        </is>
      </c>
      <c r="E17" s="8" t="inlineStr">
        <is>
          <t>Gateway fees</t>
        </is>
      </c>
      <c r="F17" s="8" t="inlineStr">
        <is>
          <t>First prepaid order</t>
        </is>
      </c>
      <c r="G17" s="8" t="inlineStr">
        <is>
          <t>Not started</t>
        </is>
      </c>
    </row>
    <row r="18" ht="30" customHeight="1">
      <c r="A18" s="8" t="n">
        <v>9</v>
      </c>
      <c r="B18" s="8" t="inlineStr">
        <is>
          <t>B2B</t>
        </is>
      </c>
      <c r="C18" s="8" t="inlineStr">
        <is>
          <t>Launch the salon community portal with tier pricing</t>
        </is>
      </c>
      <c r="D18" s="8" t="inlineStr">
        <is>
          <t>Turns your parlour list from a contact list into a sales channel.</t>
        </is>
      </c>
      <c r="E18" s="8" t="inlineStr">
        <is>
          <t>Dev time</t>
        </is>
      </c>
      <c r="F18" s="8" t="inlineStr">
        <is>
          <t>10 salons logged in</t>
        </is>
      </c>
      <c r="G18" s="8" t="inlineStr">
        <is>
          <t>Not started</t>
        </is>
      </c>
    </row>
    <row r="19" ht="30" customHeight="1">
      <c r="A19" s="8" t="n">
        <v>10</v>
      </c>
      <c r="B19" s="8" t="inlineStr">
        <is>
          <t>Inventory</t>
        </is>
      </c>
      <c r="C19" s="8" t="inlineStr">
        <is>
          <t>Set reorder points on the top 20 SKUs</t>
        </is>
      </c>
      <c r="D19" s="8" t="inlineStr">
        <is>
          <t>Stockouts on fast movers cost more than the carrying cost of the buffer.</t>
        </is>
      </c>
      <c r="E19" s="8" t="inlineStr">
        <is>
          <t>Free</t>
        </is>
      </c>
      <c r="F19" s="8" t="inlineStr">
        <is>
          <t>Reorder alerts firing</t>
        </is>
      </c>
      <c r="G19" s="8" t="inlineStr">
        <is>
          <t>Not started</t>
        </is>
      </c>
    </row>
    <row r="20" ht="30" customHeight="1">
      <c r="A20" s="8" t="n">
        <v>11</v>
      </c>
      <c r="B20" s="8" t="inlineStr">
        <is>
          <t>Growth</t>
        </is>
      </c>
      <c r="C20" s="8" t="inlineStr">
        <is>
          <t>First paid retargeting on people who viewed a PDP</t>
        </is>
      </c>
      <c r="D20" s="8" t="inlineStr">
        <is>
          <t>Cheapest paid money you will ever spend. Do not run cold ads before this works.</t>
        </is>
      </c>
      <c r="E20" s="8" t="inlineStr">
        <is>
          <t>Ad budget</t>
        </is>
      </c>
      <c r="F20" s="8" t="inlineStr">
        <is>
          <t>Positive ROAS on retargeting</t>
        </is>
      </c>
      <c r="G20" s="8" t="inlineStr">
        <is>
          <t>Not started</t>
        </is>
      </c>
    </row>
    <row r="21" ht="30" customHeight="1">
      <c r="A21" s="8" t="n">
        <v>12</v>
      </c>
      <c r="B21" s="8" t="inlineStr">
        <is>
          <t>Warehouse</t>
        </is>
      </c>
      <c r="C21" s="8" t="inlineStr">
        <is>
          <t>Stand up multi-location stock: shop + warehouse</t>
        </is>
      </c>
      <c r="D21" s="8" t="inlineStr">
        <is>
          <t>Prerequisite for the distribution business you actually want.</t>
        </is>
      </c>
      <c r="E21" s="8" t="inlineStr">
        <is>
          <t>Dev time</t>
        </is>
      </c>
      <c r="F21" s="8" t="inlineStr">
        <is>
          <t>Stock accurate in two locations</t>
        </is>
      </c>
      <c r="G21" s="8" t="inlineStr">
        <is>
          <t>Not started</t>
        </is>
      </c>
    </row>
    <row r="22" ht="30" customHeight="1">
      <c r="A22" s="8" t="n">
        <v>13</v>
      </c>
      <c r="B22" s="8" t="inlineStr">
        <is>
          <t>Review</t>
        </is>
      </c>
      <c r="C22" s="8" t="inlineStr">
        <is>
          <t>Recalculate every scenario in Unit Economics with 90 days of real data</t>
        </is>
      </c>
      <c r="D22" s="8" t="inlineStr">
        <is>
          <t>Placeholders were only ever meant to survive until you had real numbers.</t>
        </is>
      </c>
      <c r="E22" s="8" t="inlineStr">
        <is>
          <t>Free</t>
        </is>
      </c>
      <c r="F22" s="8" t="inlineStr">
        <is>
          <t>Landed multiplier replaced with measured value</t>
        </is>
      </c>
      <c r="G22" s="8" t="inlineStr">
        <is>
          <t>Not started</t>
        </is>
      </c>
    </row>
  </sheetData>
  <autoFilter ref="A4:G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5"/>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26" customWidth="1" min="3" max="3"/>
    <col width="7" customWidth="1" min="4" max="4"/>
    <col width="13" customWidth="1" min="5" max="5"/>
    <col width="13" customWidth="1" min="6" max="6"/>
    <col width="13" customWidth="1" min="7" max="7"/>
    <col width="12" customWidth="1" min="8" max="8"/>
    <col width="13" customWidth="1" min="9" max="9"/>
    <col width="11" customWidth="1" min="10" max="10"/>
    <col width="15" customWidth="1" min="11" max="11"/>
    <col width="56" customWidth="1" min="12" max="12"/>
  </cols>
  <sheetData>
    <row r="1" ht="24" customHeight="1">
      <c r="A1" s="1" t="inlineStr">
        <is>
          <t>INVENTORY &amp; REORDER PLANNER</t>
        </is>
      </c>
    </row>
    <row r="2" ht="15.75" customHeight="1">
      <c r="A2" s="2" t="inlineStr">
        <is>
          <t>Seed data for the warehouse module. Reorder point and order quantity are live formulas: fill demand and lead time and they compute.</t>
        </is>
      </c>
    </row>
    <row r="4" ht="30" customHeight="1">
      <c r="A4" s="9" t="inlineStr">
        <is>
          <t>ID</t>
        </is>
      </c>
      <c r="B4" s="9" t="inlineStr">
        <is>
          <t>Product</t>
        </is>
      </c>
      <c r="C4" s="9" t="inlineStr">
        <is>
          <t>Category</t>
        </is>
      </c>
      <c r="D4" s="9" t="inlineStr">
        <is>
          <t>ABC</t>
        </is>
      </c>
      <c r="E4" s="9" t="inlineStr">
        <is>
          <t>Unit Cost (NPR)</t>
        </is>
      </c>
      <c r="F4" s="9" t="inlineStr">
        <is>
          <t>Monthly Demand</t>
        </is>
      </c>
      <c r="G4" s="9" t="inlineStr">
        <is>
          <t>Lead Time (days)</t>
        </is>
      </c>
      <c r="H4" s="9" t="inlineStr">
        <is>
          <t>Safety Stock</t>
        </is>
      </c>
      <c r="I4" s="9" t="inlineStr">
        <is>
          <t>Reorder Point</t>
        </is>
      </c>
      <c r="J4" s="9" t="inlineStr">
        <is>
          <t>Order Qty</t>
        </is>
      </c>
      <c r="K4" s="9" t="inlineStr">
        <is>
          <t>Capital Tied Up</t>
        </is>
      </c>
      <c r="L4" s="9" t="inlineStr">
        <is>
          <t>Notes</t>
        </is>
      </c>
    </row>
    <row r="5" ht="26" customHeight="1">
      <c r="A5" s="10" t="inlineStr">
        <is>
          <t>ETP-001</t>
        </is>
      </c>
      <c r="B5" s="8" t="inlineStr">
        <is>
          <t>Ikonic Pedicure Station Royal - Black</t>
        </is>
      </c>
      <c r="C5" s="10" t="inlineStr">
        <is>
          <t>Salon Furniture &amp; Equipment</t>
        </is>
      </c>
      <c r="D5" s="10" t="inlineStr">
        <is>
          <t>A</t>
        </is>
      </c>
      <c r="E5" s="13" t="n">
        <v>422400</v>
      </c>
      <c r="F5" s="23" t="n">
        <v>1</v>
      </c>
      <c r="G5" s="23" t="n">
        <v>21</v>
      </c>
      <c r="H5" s="15">
        <f>ROUND(F5/30*G5*0.5,0)</f>
        <v/>
      </c>
      <c r="I5" s="15">
        <f>ROUND(F5/30*G5+H5,0)</f>
        <v/>
      </c>
      <c r="J5" s="15">
        <f>MAX(1,ROUND(F5*1.5,0))</f>
        <v/>
      </c>
      <c r="K5" s="13">
        <f>ROUND(E5*I5,0)</f>
        <v/>
      </c>
      <c r="L5" s="8" t="inlineStr">
        <is>
          <t>Furniture: order against a confirmed sale, do not stock speculatively.</t>
        </is>
      </c>
    </row>
    <row r="6" ht="26" customHeight="1">
      <c r="A6" s="10" t="inlineStr">
        <is>
          <t>ETP-002</t>
        </is>
      </c>
      <c r="B6" s="8" t="inlineStr">
        <is>
          <t>Autumn Electric Bed</t>
        </is>
      </c>
      <c r="C6" s="10" t="inlineStr">
        <is>
          <t>Salon Furniture &amp; Equipment</t>
        </is>
      </c>
      <c r="D6" s="10" t="inlineStr">
        <is>
          <t>A</t>
        </is>
      </c>
      <c r="E6" s="13" t="n">
        <v>397056</v>
      </c>
      <c r="F6" s="23" t="n">
        <v>1</v>
      </c>
      <c r="G6" s="23" t="n">
        <v>21</v>
      </c>
      <c r="H6" s="15">
        <f>ROUND(F6/30*G6*0.5,0)</f>
        <v/>
      </c>
      <c r="I6" s="15">
        <f>ROUND(F6/30*G6+H6,0)</f>
        <v/>
      </c>
      <c r="J6" s="15">
        <f>MAX(1,ROUND(F6*1.5,0))</f>
        <v/>
      </c>
      <c r="K6" s="13">
        <f>ROUND(E6*I6,0)</f>
        <v/>
      </c>
      <c r="L6" s="8" t="inlineStr">
        <is>
          <t>Furniture: order against a confirmed sale, do not stock speculatively.</t>
        </is>
      </c>
    </row>
    <row r="7" ht="26" customHeight="1">
      <c r="A7" s="10" t="inlineStr">
        <is>
          <t>ETP-003</t>
        </is>
      </c>
      <c r="B7" s="8" t="inlineStr">
        <is>
          <t>Ikonic Electrical Bed Calypso</t>
        </is>
      </c>
      <c r="C7" s="10" t="inlineStr">
        <is>
          <t>Salon Furniture &amp; Equipment</t>
        </is>
      </c>
      <c r="D7" s="10" t="inlineStr">
        <is>
          <t>A</t>
        </is>
      </c>
      <c r="E7" s="13" t="n">
        <v>244992</v>
      </c>
      <c r="F7" s="23" t="n">
        <v>1</v>
      </c>
      <c r="G7" s="23" t="n">
        <v>21</v>
      </c>
      <c r="H7" s="15">
        <f>ROUND(F7/30*G7*0.5,0)</f>
        <v/>
      </c>
      <c r="I7" s="15">
        <f>ROUND(F7/30*G7+H7,0)</f>
        <v/>
      </c>
      <c r="J7" s="15">
        <f>MAX(1,ROUND(F7*1.5,0))</f>
        <v/>
      </c>
      <c r="K7" s="13">
        <f>ROUND(E7*I7,0)</f>
        <v/>
      </c>
      <c r="L7" s="8" t="inlineStr">
        <is>
          <t>Furniture: order against a confirmed sale, do not stock speculatively.</t>
        </is>
      </c>
    </row>
    <row r="8" ht="26" customHeight="1">
      <c r="A8" s="10" t="inlineStr">
        <is>
          <t>ETP-004</t>
        </is>
      </c>
      <c r="B8" s="8" t="inlineStr">
        <is>
          <t>Charmaine Shampoo Bed With Pedicure Basin</t>
        </is>
      </c>
      <c r="C8" s="10" t="inlineStr">
        <is>
          <t>Salon Furniture &amp; Equipment</t>
        </is>
      </c>
      <c r="D8" s="10" t="inlineStr">
        <is>
          <t>A</t>
        </is>
      </c>
      <c r="E8" s="13" t="n">
        <v>177408</v>
      </c>
      <c r="F8" s="23" t="n">
        <v>1</v>
      </c>
      <c r="G8" s="23" t="n">
        <v>21</v>
      </c>
      <c r="H8" s="15">
        <f>ROUND(F8/30*G8*0.5,0)</f>
        <v/>
      </c>
      <c r="I8" s="15">
        <f>ROUND(F8/30*G8+H8,0)</f>
        <v/>
      </c>
      <c r="J8" s="15">
        <f>MAX(1,ROUND(F8*1.5,0))</f>
        <v/>
      </c>
      <c r="K8" s="13">
        <f>ROUND(E8*I8,0)</f>
        <v/>
      </c>
      <c r="L8" s="8" t="inlineStr">
        <is>
          <t>Furniture: order against a confirmed sale, do not stock speculatively.</t>
        </is>
      </c>
    </row>
    <row r="9" ht="26" customHeight="1">
      <c r="A9" s="10" t="inlineStr">
        <is>
          <t>ETP-005</t>
        </is>
      </c>
      <c r="B9" s="8" t="inlineStr">
        <is>
          <t>Ikonic Barber Chair Felix</t>
        </is>
      </c>
      <c r="C9" s="10" t="inlineStr">
        <is>
          <t>Salon Furniture &amp; Equipment</t>
        </is>
      </c>
      <c r="D9" s="10" t="inlineStr">
        <is>
          <t>A</t>
        </is>
      </c>
      <c r="E9" s="13" t="n">
        <v>177408</v>
      </c>
      <c r="F9" s="23" t="n">
        <v>1</v>
      </c>
      <c r="G9" s="23" t="n">
        <v>21</v>
      </c>
      <c r="H9" s="15">
        <f>ROUND(F9/30*G9*0.5,0)</f>
        <v/>
      </c>
      <c r="I9" s="15">
        <f>ROUND(F9/30*G9+H9,0)</f>
        <v/>
      </c>
      <c r="J9" s="15">
        <f>MAX(1,ROUND(F9*1.5,0))</f>
        <v/>
      </c>
      <c r="K9" s="13">
        <f>ROUND(E9*I9,0)</f>
        <v/>
      </c>
      <c r="L9" s="8" t="inlineStr">
        <is>
          <t>Furniture: order against a confirmed sale, do not stock speculatively.</t>
        </is>
      </c>
    </row>
    <row r="10" ht="26" customHeight="1">
      <c r="A10" s="10" t="inlineStr">
        <is>
          <t>ETP-006</t>
        </is>
      </c>
      <c r="B10" s="8" t="inlineStr">
        <is>
          <t>Ikonic Barber Chair Maverick</t>
        </is>
      </c>
      <c r="C10" s="10" t="inlineStr">
        <is>
          <t>Salon Furniture &amp; Equipment</t>
        </is>
      </c>
      <c r="D10" s="10" t="inlineStr">
        <is>
          <t>A</t>
        </is>
      </c>
      <c r="E10" s="13" t="n">
        <v>168960</v>
      </c>
      <c r="F10" s="23" t="n">
        <v>1</v>
      </c>
      <c r="G10" s="23" t="n">
        <v>21</v>
      </c>
      <c r="H10" s="15">
        <f>ROUND(F10/30*G10*0.5,0)</f>
        <v/>
      </c>
      <c r="I10" s="15">
        <f>ROUND(F10/30*G10+H10,0)</f>
        <v/>
      </c>
      <c r="J10" s="15">
        <f>MAX(1,ROUND(F10*1.5,0))</f>
        <v/>
      </c>
      <c r="K10" s="13">
        <f>ROUND(E10*I10,0)</f>
        <v/>
      </c>
      <c r="L10" s="8" t="inlineStr">
        <is>
          <t>Furniture: order against a confirmed sale, do not stock speculatively.</t>
        </is>
      </c>
    </row>
    <row r="11" ht="26" customHeight="1">
      <c r="A11" s="10" t="inlineStr">
        <is>
          <t>ETP-007</t>
        </is>
      </c>
      <c r="B11" s="8" t="inlineStr">
        <is>
          <t>Ikonic Barber Chair Bruno</t>
        </is>
      </c>
      <c r="C11" s="10" t="inlineStr">
        <is>
          <t>Salon Furniture &amp; Equipment</t>
        </is>
      </c>
      <c r="D11" s="10" t="inlineStr">
        <is>
          <t>A</t>
        </is>
      </c>
      <c r="E11" s="13" t="n">
        <v>168115</v>
      </c>
      <c r="F11" s="23" t="n">
        <v>1</v>
      </c>
      <c r="G11" s="23" t="n">
        <v>21</v>
      </c>
      <c r="H11" s="15">
        <f>ROUND(F11/30*G11*0.5,0)</f>
        <v/>
      </c>
      <c r="I11" s="15">
        <f>ROUND(F11/30*G11+H11,0)</f>
        <v/>
      </c>
      <c r="J11" s="15">
        <f>MAX(1,ROUND(F11*1.5,0))</f>
        <v/>
      </c>
      <c r="K11" s="13">
        <f>ROUND(E11*I11,0)</f>
        <v/>
      </c>
      <c r="L11" s="8" t="inlineStr">
        <is>
          <t>Furniture: order against a confirmed sale, do not stock speculatively.</t>
        </is>
      </c>
    </row>
    <row r="12" ht="26" customHeight="1">
      <c r="A12" s="10" t="inlineStr">
        <is>
          <t>ETP-008</t>
        </is>
      </c>
      <c r="B12" s="8" t="inlineStr">
        <is>
          <t>AOI CLAMAZONE</t>
        </is>
      </c>
      <c r="C12" s="10" t="inlineStr">
        <is>
          <t>Salon Furniture &amp; Equipment</t>
        </is>
      </c>
      <c r="D12" s="10" t="inlineStr">
        <is>
          <t>A</t>
        </is>
      </c>
      <c r="E12" s="13" t="n">
        <v>151219</v>
      </c>
      <c r="F12" s="23" t="n">
        <v>1</v>
      </c>
      <c r="G12" s="23" t="n">
        <v>21</v>
      </c>
      <c r="H12" s="15">
        <f>ROUND(F12/30*G12*0.5,0)</f>
        <v/>
      </c>
      <c r="I12" s="15">
        <f>ROUND(F12/30*G12+H12,0)</f>
        <v/>
      </c>
      <c r="J12" s="15">
        <f>MAX(1,ROUND(F12*1.5,0))</f>
        <v/>
      </c>
      <c r="K12" s="13">
        <f>ROUND(E12*I12,0)</f>
        <v/>
      </c>
      <c r="L12" s="8" t="inlineStr">
        <is>
          <t>Furniture: order against a confirmed sale, do not stock speculatively.</t>
        </is>
      </c>
    </row>
    <row r="13" ht="26" customHeight="1">
      <c r="A13" s="10" t="inlineStr">
        <is>
          <t>ETP-087</t>
        </is>
      </c>
      <c r="B13" s="8" t="inlineStr">
        <is>
          <t>Ikonic Professional Hot Brush - Hair Straightener ( Burgundy )</t>
        </is>
      </c>
      <c r="C13" s="10" t="inlineStr">
        <is>
          <t>Straighteners</t>
        </is>
      </c>
      <c r="D13" s="10" t="inlineStr">
        <is>
          <t>B</t>
        </is>
      </c>
      <c r="E13" s="13" t="n">
        <v>8338</v>
      </c>
      <c r="F13" s="23" t="n">
        <v>8</v>
      </c>
      <c r="G13" s="23" t="n">
        <v>14</v>
      </c>
      <c r="H13" s="15">
        <f>ROUND(F13/30*G13*0.5,0)</f>
        <v/>
      </c>
      <c r="I13" s="15">
        <f>ROUND(F13/30*G13+H13,0)</f>
        <v/>
      </c>
      <c r="J13" s="15">
        <f>MAX(1,ROUND(F13*1.5,0))</f>
        <v/>
      </c>
      <c r="K13" s="13">
        <f>ROUND(E13*I13,0)</f>
        <v/>
      </c>
      <c r="L13" s="8" t="inlineStr">
        <is>
          <t>Fast mover. A stockout here costs a customer, not just a sale.</t>
        </is>
      </c>
    </row>
    <row r="14" ht="26" customHeight="1">
      <c r="A14" s="10" t="inlineStr">
        <is>
          <t>ETP-088</t>
        </is>
      </c>
      <c r="B14" s="8" t="inlineStr">
        <is>
          <t>Ikonic Professional Hair Straightener Hot Brush</t>
        </is>
      </c>
      <c r="C14" s="10" t="inlineStr">
        <is>
          <t>Straighteners</t>
        </is>
      </c>
      <c r="D14" s="10" t="inlineStr">
        <is>
          <t>B</t>
        </is>
      </c>
      <c r="E14" s="13" t="n">
        <v>7352</v>
      </c>
      <c r="F14" s="23" t="n">
        <v>8</v>
      </c>
      <c r="G14" s="23" t="n">
        <v>14</v>
      </c>
      <c r="H14" s="15">
        <f>ROUND(F14/30*G14*0.5,0)</f>
        <v/>
      </c>
      <c r="I14" s="15">
        <f>ROUND(F14/30*G14+H14,0)</f>
        <v/>
      </c>
      <c r="J14" s="15">
        <f>MAX(1,ROUND(F14*1.5,0))</f>
        <v/>
      </c>
      <c r="K14" s="13">
        <f>ROUND(E14*I14,0)</f>
        <v/>
      </c>
      <c r="L14" s="8" t="inlineStr">
        <is>
          <t>Fast mover. A stockout here costs a customer, not just a sale.</t>
        </is>
      </c>
    </row>
    <row r="15" ht="26" customHeight="1">
      <c r="A15" s="10" t="inlineStr">
        <is>
          <t>ETP-089</t>
        </is>
      </c>
      <c r="B15" s="8" t="inlineStr">
        <is>
          <t>Ikonic Professional Pro Titanium Shine 3.0 Hair Straightener</t>
        </is>
      </c>
      <c r="C15" s="10" t="inlineStr">
        <is>
          <t>Straighteners</t>
        </is>
      </c>
      <c r="D15" s="10" t="inlineStr">
        <is>
          <t>B</t>
        </is>
      </c>
      <c r="E15" s="13" t="n">
        <v>13306</v>
      </c>
      <c r="F15" s="23" t="n">
        <v>8</v>
      </c>
      <c r="G15" s="23" t="n">
        <v>14</v>
      </c>
      <c r="H15" s="15">
        <f>ROUND(F15/30*G15*0.5,0)</f>
        <v/>
      </c>
      <c r="I15" s="15">
        <f>ROUND(F15/30*G15+H15,0)</f>
        <v/>
      </c>
      <c r="J15" s="15">
        <f>MAX(1,ROUND(F15*1.5,0))</f>
        <v/>
      </c>
      <c r="K15" s="13">
        <f>ROUND(E15*I15,0)</f>
        <v/>
      </c>
      <c r="L15" s="8" t="inlineStr">
        <is>
          <t>Fast mover. A stockout here costs a customer, not just a sale.</t>
        </is>
      </c>
    </row>
    <row r="16" ht="26" customHeight="1">
      <c r="A16" s="10" t="inlineStr">
        <is>
          <t>ETP-090</t>
        </is>
      </c>
      <c r="B16" s="8" t="inlineStr">
        <is>
          <t>Ikonic Professional Gleam Pro Hair Straightener</t>
        </is>
      </c>
      <c r="C16" s="10" t="inlineStr">
        <is>
          <t>Straighteners</t>
        </is>
      </c>
      <c r="D16" s="10" t="inlineStr">
        <is>
          <t>B</t>
        </is>
      </c>
      <c r="E16" s="13" t="n">
        <v>13306</v>
      </c>
      <c r="F16" s="23" t="n">
        <v>8</v>
      </c>
      <c r="G16" s="23" t="n">
        <v>14</v>
      </c>
      <c r="H16" s="15">
        <f>ROUND(F16/30*G16*0.5,0)</f>
        <v/>
      </c>
      <c r="I16" s="15">
        <f>ROUND(F16/30*G16+H16,0)</f>
        <v/>
      </c>
      <c r="J16" s="15">
        <f>MAX(1,ROUND(F16*1.5,0))</f>
        <v/>
      </c>
      <c r="K16" s="13">
        <f>ROUND(E16*I16,0)</f>
        <v/>
      </c>
      <c r="L16" s="8" t="inlineStr">
        <is>
          <t>Fast mover. A stockout here costs a customer, not just a sale.</t>
        </is>
      </c>
    </row>
    <row r="17" ht="26" customHeight="1">
      <c r="A17" s="10" t="inlineStr">
        <is>
          <t>ETP-091</t>
        </is>
      </c>
      <c r="B17" s="8" t="inlineStr">
        <is>
          <t>Ikonic Professional Hair Straightener Hot Brush | Straightening hair b</t>
        </is>
      </c>
      <c r="C17" s="10" t="inlineStr">
        <is>
          <t>Straighteners</t>
        </is>
      </c>
      <c r="D17" s="10" t="inlineStr">
        <is>
          <t>B</t>
        </is>
      </c>
      <c r="E17" s="13" t="n">
        <v>6974</v>
      </c>
      <c r="F17" s="23" t="n">
        <v>8</v>
      </c>
      <c r="G17" s="23" t="n">
        <v>14</v>
      </c>
      <c r="H17" s="15">
        <f>ROUND(F17/30*G17*0.5,0)</f>
        <v/>
      </c>
      <c r="I17" s="15">
        <f>ROUND(F17/30*G17+H17,0)</f>
        <v/>
      </c>
      <c r="J17" s="15">
        <f>MAX(1,ROUND(F17*1.5,0))</f>
        <v/>
      </c>
      <c r="K17" s="13">
        <f>ROUND(E17*I17,0)</f>
        <v/>
      </c>
      <c r="L17" s="8" t="inlineStr">
        <is>
          <t>Fast mover. A stockout here costs a customer, not just a sale.</t>
        </is>
      </c>
    </row>
    <row r="18" ht="26" customHeight="1">
      <c r="A18" s="10" t="inlineStr">
        <is>
          <t>ETP-092</t>
        </is>
      </c>
      <c r="B18" s="8" t="inlineStr">
        <is>
          <t>Ikonic Professional Gleam 3.0 Hair Straightener</t>
        </is>
      </c>
      <c r="C18" s="10" t="inlineStr">
        <is>
          <t>Straighteners</t>
        </is>
      </c>
      <c r="D18" s="10" t="inlineStr">
        <is>
          <t>B</t>
        </is>
      </c>
      <c r="E18" s="13" t="n">
        <v>12566</v>
      </c>
      <c r="F18" s="23" t="n">
        <v>8</v>
      </c>
      <c r="G18" s="23" t="n">
        <v>14</v>
      </c>
      <c r="H18" s="15">
        <f>ROUND(F18/30*G18*0.5,0)</f>
        <v/>
      </c>
      <c r="I18" s="15">
        <f>ROUND(F18/30*G18+H18,0)</f>
        <v/>
      </c>
      <c r="J18" s="15">
        <f>MAX(1,ROUND(F18*1.5,0))</f>
        <v/>
      </c>
      <c r="K18" s="13">
        <f>ROUND(E18*I18,0)</f>
        <v/>
      </c>
      <c r="L18" s="8" t="inlineStr">
        <is>
          <t>Fast mover. A stockout here costs a customer, not just a sale.</t>
        </is>
      </c>
    </row>
    <row r="19" ht="26" customHeight="1">
      <c r="A19" s="10" t="inlineStr">
        <is>
          <t>ETP-093</t>
        </is>
      </c>
      <c r="B19" s="8" t="inlineStr">
        <is>
          <t>Ikonic Professional Hair Straightener - Slim Titanium Shine 3.0</t>
        </is>
      </c>
      <c r="C19" s="10" t="inlineStr">
        <is>
          <t>Straighteners</t>
        </is>
      </c>
      <c r="D19" s="10" t="inlineStr">
        <is>
          <t>B</t>
        </is>
      </c>
      <c r="E19" s="13" t="n">
        <v>11827</v>
      </c>
      <c r="F19" s="23" t="n">
        <v>8</v>
      </c>
      <c r="G19" s="23" t="n">
        <v>14</v>
      </c>
      <c r="H19" s="15">
        <f>ROUND(F19/30*G19*0.5,0)</f>
        <v/>
      </c>
      <c r="I19" s="15">
        <f>ROUND(F19/30*G19+H19,0)</f>
        <v/>
      </c>
      <c r="J19" s="15">
        <f>MAX(1,ROUND(F19*1.5,0))</f>
        <v/>
      </c>
      <c r="K19" s="13">
        <f>ROUND(E19*I19,0)</f>
        <v/>
      </c>
      <c r="L19" s="8" t="inlineStr">
        <is>
          <t>Fast mover. A stockout here costs a customer, not just a sale.</t>
        </is>
      </c>
    </row>
    <row r="20" ht="26" customHeight="1">
      <c r="A20" s="10" t="inlineStr">
        <is>
          <t>ETP-094</t>
        </is>
      </c>
      <c r="B20" s="8" t="inlineStr">
        <is>
          <t>Ikonic Professional Finishing Line Hair Straightener</t>
        </is>
      </c>
      <c r="C20" s="10" t="inlineStr">
        <is>
          <t>Straighteners</t>
        </is>
      </c>
      <c r="D20" s="10" t="inlineStr">
        <is>
          <t>B</t>
        </is>
      </c>
      <c r="E20" s="13" t="n">
        <v>11405</v>
      </c>
      <c r="F20" s="23" t="n">
        <v>8</v>
      </c>
      <c r="G20" s="23" t="n">
        <v>14</v>
      </c>
      <c r="H20" s="15">
        <f>ROUND(F20/30*G20*0.5,0)</f>
        <v/>
      </c>
      <c r="I20" s="15">
        <f>ROUND(F20/30*G20+H20,0)</f>
        <v/>
      </c>
      <c r="J20" s="15">
        <f>MAX(1,ROUND(F20*1.5,0))</f>
        <v/>
      </c>
      <c r="K20" s="13">
        <f>ROUND(E20*I20,0)</f>
        <v/>
      </c>
      <c r="L20" s="8" t="inlineStr">
        <is>
          <t>Fast mover. A stockout here costs a customer, not just a sale.</t>
        </is>
      </c>
    </row>
    <row r="21" ht="26" customHeight="1">
      <c r="A21" s="10" t="inlineStr">
        <is>
          <t>ETP-095</t>
        </is>
      </c>
      <c r="B21" s="8" t="inlineStr">
        <is>
          <t>Ikonic Professional Black Titanium Slim Hair Straightener</t>
        </is>
      </c>
      <c r="C21" s="10" t="inlineStr">
        <is>
          <t>Straighteners</t>
        </is>
      </c>
      <c r="D21" s="10" t="inlineStr">
        <is>
          <t>B</t>
        </is>
      </c>
      <c r="E21" s="13" t="n">
        <v>10771</v>
      </c>
      <c r="F21" s="23" t="n">
        <v>8</v>
      </c>
      <c r="G21" s="23" t="n">
        <v>14</v>
      </c>
      <c r="H21" s="15">
        <f>ROUND(F21/30*G21*0.5,0)</f>
        <v/>
      </c>
      <c r="I21" s="15">
        <f>ROUND(F21/30*G21+H21,0)</f>
        <v/>
      </c>
      <c r="J21" s="15">
        <f>MAX(1,ROUND(F21*1.5,0))</f>
        <v/>
      </c>
      <c r="K21" s="13">
        <f>ROUND(E21*I21,0)</f>
        <v/>
      </c>
      <c r="L21" s="8" t="inlineStr">
        <is>
          <t>Fast mover. A stockout here costs a customer, not just a sale.</t>
        </is>
      </c>
    </row>
    <row r="22" ht="26" customHeight="1">
      <c r="A22" s="10" t="inlineStr">
        <is>
          <t>ETP-096</t>
        </is>
      </c>
      <c r="B22" s="8" t="inlineStr">
        <is>
          <t>Ikonic Professional Pro Straight Black Hair Straightener</t>
        </is>
      </c>
      <c r="C22" s="10" t="inlineStr">
        <is>
          <t>Straighteners</t>
        </is>
      </c>
      <c r="D22" s="10" t="inlineStr">
        <is>
          <t>C</t>
        </is>
      </c>
      <c r="E22" s="13" t="n">
        <v>9610</v>
      </c>
      <c r="F22" s="23" t="n">
        <v>8</v>
      </c>
      <c r="G22" s="23" t="n">
        <v>14</v>
      </c>
      <c r="H22" s="15">
        <f>ROUND(F22/30*G22*0.5,0)</f>
        <v/>
      </c>
      <c r="I22" s="15">
        <f>ROUND(F22/30*G22+H22,0)</f>
        <v/>
      </c>
      <c r="J22" s="15">
        <f>MAX(1,ROUND(F22*1.5,0))</f>
        <v/>
      </c>
      <c r="K22" s="13">
        <f>ROUND(E22*I22,0)</f>
        <v/>
      </c>
      <c r="L22" s="8" t="inlineStr">
        <is>
          <t>Fast mover. A stockout here costs a customer, not just a sale.</t>
        </is>
      </c>
    </row>
    <row r="23" ht="26" customHeight="1">
      <c r="A23" s="10" t="inlineStr">
        <is>
          <t>ETP-097</t>
        </is>
      </c>
      <c r="B23" s="8" t="inlineStr">
        <is>
          <t>Ikonic Go Straight Hair Straightener, Black &amp; Pink | Floating &amp; Cerami</t>
        </is>
      </c>
      <c r="C23" s="10" t="inlineStr">
        <is>
          <t>Straighteners</t>
        </is>
      </c>
      <c r="D23" s="10" t="inlineStr">
        <is>
          <t>C</t>
        </is>
      </c>
      <c r="E23" s="13" t="n">
        <v>4349</v>
      </c>
      <c r="F23" s="23" t="n">
        <v>8</v>
      </c>
      <c r="G23" s="23" t="n">
        <v>14</v>
      </c>
      <c r="H23" s="15">
        <f>ROUND(F23/30*G23*0.5,0)</f>
        <v/>
      </c>
      <c r="I23" s="15">
        <f>ROUND(F23/30*G23+H23,0)</f>
        <v/>
      </c>
      <c r="J23" s="15">
        <f>MAX(1,ROUND(F23*1.5,0))</f>
        <v/>
      </c>
      <c r="K23" s="13">
        <f>ROUND(E23*I23,0)</f>
        <v/>
      </c>
      <c r="L23" s="8" t="inlineStr">
        <is>
          <t>Fast mover. A stockout here costs a customer, not just a sale.</t>
        </is>
      </c>
    </row>
    <row r="24" ht="26" customHeight="1">
      <c r="A24" s="10" t="inlineStr">
        <is>
          <t>ETP-098</t>
        </is>
      </c>
      <c r="B24" s="8" t="inlineStr">
        <is>
          <t>Ikonic Professional S3+ Hair Straightener</t>
        </is>
      </c>
      <c r="C24" s="10" t="inlineStr">
        <is>
          <t>Straighteners</t>
        </is>
      </c>
      <c r="D24" s="10" t="inlineStr">
        <is>
          <t>C</t>
        </is>
      </c>
      <c r="E24" s="13" t="n">
        <v>7762</v>
      </c>
      <c r="F24" s="23" t="n">
        <v>8</v>
      </c>
      <c r="G24" s="23" t="n">
        <v>14</v>
      </c>
      <c r="H24" s="15">
        <f>ROUND(F24/30*G24*0.5,0)</f>
        <v/>
      </c>
      <c r="I24" s="15">
        <f>ROUND(F24/30*G24+H24,0)</f>
        <v/>
      </c>
      <c r="J24" s="15">
        <f>MAX(1,ROUND(F24*1.5,0))</f>
        <v/>
      </c>
      <c r="K24" s="13">
        <f>ROUND(E24*I24,0)</f>
        <v/>
      </c>
      <c r="L24" s="8" t="inlineStr">
        <is>
          <t>Fast mover. A stockout here costs a customer, not just a sale.</t>
        </is>
      </c>
    </row>
    <row r="25" ht="26" customHeight="1">
      <c r="A25" s="10" t="inlineStr">
        <is>
          <t>ETP-099</t>
        </is>
      </c>
      <c r="B25" s="8" t="inlineStr">
        <is>
          <t>Ikonic Professional Vibe+  Hair Straightener</t>
        </is>
      </c>
      <c r="C25" s="10" t="inlineStr">
        <is>
          <t>Straighteners</t>
        </is>
      </c>
      <c r="D25" s="10" t="inlineStr">
        <is>
          <t>C</t>
        </is>
      </c>
      <c r="E25" s="13" t="n">
        <v>6758</v>
      </c>
      <c r="F25" s="23" t="n">
        <v>8</v>
      </c>
      <c r="G25" s="23" t="n">
        <v>14</v>
      </c>
      <c r="H25" s="15">
        <f>ROUND(F25/30*G25*0.5,0)</f>
        <v/>
      </c>
      <c r="I25" s="15">
        <f>ROUND(F25/30*G25+H25,0)</f>
        <v/>
      </c>
      <c r="J25" s="15">
        <f>MAX(1,ROUND(F25*1.5,0))</f>
        <v/>
      </c>
      <c r="K25" s="13">
        <f>ROUND(E25*I25,0)</f>
        <v/>
      </c>
      <c r="L25" s="8" t="inlineStr">
        <is>
          <t>Fast mover. A stockout here costs a customer, not just a sale.</t>
        </is>
      </c>
    </row>
    <row r="26" ht="26" customHeight="1">
      <c r="A26" s="10" t="inlineStr">
        <is>
          <t>ETP-100</t>
        </is>
      </c>
      <c r="B26" s="8" t="inlineStr">
        <is>
          <t>Ikonic Professional Glam Hair Straightener</t>
        </is>
      </c>
      <c r="C26" s="10" t="inlineStr">
        <is>
          <t>Straighteners</t>
        </is>
      </c>
      <c r="D26" s="10" t="inlineStr">
        <is>
          <t>C</t>
        </is>
      </c>
      <c r="E26" s="13" t="n">
        <v>6283</v>
      </c>
      <c r="F26" s="23" t="n">
        <v>8</v>
      </c>
      <c r="G26" s="23" t="n">
        <v>14</v>
      </c>
      <c r="H26" s="15">
        <f>ROUND(F26/30*G26*0.5,0)</f>
        <v/>
      </c>
      <c r="I26" s="15">
        <f>ROUND(F26/30*G26+H26,0)</f>
        <v/>
      </c>
      <c r="J26" s="15">
        <f>MAX(1,ROUND(F26*1.5,0))</f>
        <v/>
      </c>
      <c r="K26" s="13">
        <f>ROUND(E26*I26,0)</f>
        <v/>
      </c>
      <c r="L26" s="8" t="inlineStr">
        <is>
          <t>Fast mover. A stockout here costs a customer, not just a sale.</t>
        </is>
      </c>
    </row>
    <row r="27" ht="26" customHeight="1">
      <c r="A27" s="10" t="inlineStr">
        <is>
          <t>ETP-101</t>
        </is>
      </c>
      <c r="B27" s="8" t="inlineStr">
        <is>
          <t>Ikonic Professional Vibe Hair Straightener</t>
        </is>
      </c>
      <c r="C27" s="10" t="inlineStr">
        <is>
          <t>Straighteners</t>
        </is>
      </c>
      <c r="D27" s="10" t="inlineStr">
        <is>
          <t>C</t>
        </is>
      </c>
      <c r="E27" s="13" t="n">
        <v>6230</v>
      </c>
      <c r="F27" s="23" t="n">
        <v>8</v>
      </c>
      <c r="G27" s="23" t="n">
        <v>14</v>
      </c>
      <c r="H27" s="15">
        <f>ROUND(F27/30*G27*0.5,0)</f>
        <v/>
      </c>
      <c r="I27" s="15">
        <f>ROUND(F27/30*G27+H27,0)</f>
        <v/>
      </c>
      <c r="J27" s="15">
        <f>MAX(1,ROUND(F27*1.5,0))</f>
        <v/>
      </c>
      <c r="K27" s="13">
        <f>ROUND(E27*I27,0)</f>
        <v/>
      </c>
      <c r="L27" s="8" t="inlineStr">
        <is>
          <t>Fast mover. A stockout here costs a customer, not just a sale.</t>
        </is>
      </c>
    </row>
    <row r="28" ht="26" customHeight="1">
      <c r="A28" s="10" t="inlineStr">
        <is>
          <t>ETP-102</t>
        </is>
      </c>
      <c r="B28" s="8" t="inlineStr">
        <is>
          <t>Ikonic Professional Pro Slim Hair Straightener</t>
        </is>
      </c>
      <c r="C28" s="10" t="inlineStr">
        <is>
          <t>Straighteners</t>
        </is>
      </c>
      <c r="D28" s="10" t="inlineStr">
        <is>
          <t>C</t>
        </is>
      </c>
      <c r="E28" s="13" t="n">
        <v>5069</v>
      </c>
      <c r="F28" s="23" t="n">
        <v>8</v>
      </c>
      <c r="G28" s="23" t="n">
        <v>14</v>
      </c>
      <c r="H28" s="15">
        <f>ROUND(F28/30*G28*0.5,0)</f>
        <v/>
      </c>
      <c r="I28" s="15">
        <f>ROUND(F28/30*G28+H28,0)</f>
        <v/>
      </c>
      <c r="J28" s="15">
        <f>MAX(1,ROUND(F28*1.5,0))</f>
        <v/>
      </c>
      <c r="K28" s="13">
        <f>ROUND(E28*I28,0)</f>
        <v/>
      </c>
      <c r="L28" s="8" t="inlineStr">
        <is>
          <t>Fast mover. A stockout here costs a customer, not just a sale.</t>
        </is>
      </c>
    </row>
    <row r="29" ht="26" customHeight="1">
      <c r="A29" s="10" t="inlineStr">
        <is>
          <t>ETP-103</t>
        </is>
      </c>
      <c r="B29" s="8" t="inlineStr">
        <is>
          <t>Ikonic Me Xtreme Straight Hair Straightener</t>
        </is>
      </c>
      <c r="C29" s="10" t="inlineStr">
        <is>
          <t>Straighteners</t>
        </is>
      </c>
      <c r="D29" s="10" t="inlineStr">
        <is>
          <t>C</t>
        </is>
      </c>
      <c r="E29" s="13" t="n">
        <v>4839</v>
      </c>
      <c r="F29" s="23" t="n">
        <v>8</v>
      </c>
      <c r="G29" s="23" t="n">
        <v>14</v>
      </c>
      <c r="H29" s="15">
        <f>ROUND(F29/30*G29*0.5,0)</f>
        <v/>
      </c>
      <c r="I29" s="15">
        <f>ROUND(F29/30*G29+H29,0)</f>
        <v/>
      </c>
      <c r="J29" s="15">
        <f>MAX(1,ROUND(F29*1.5,0))</f>
        <v/>
      </c>
      <c r="K29" s="13">
        <f>ROUND(E29*I29,0)</f>
        <v/>
      </c>
      <c r="L29" s="8" t="inlineStr">
        <is>
          <t>Fast mover. A stockout here costs a customer, not just a sale.</t>
        </is>
      </c>
    </row>
    <row r="30" ht="26" customHeight="1">
      <c r="A30" s="10" t="inlineStr">
        <is>
          <t>ETP-104</t>
        </is>
      </c>
      <c r="B30" s="8" t="inlineStr">
        <is>
          <t>Ikonic me Black Beauty Hair Straightener by Ikonic</t>
        </is>
      </c>
      <c r="C30" s="10" t="inlineStr">
        <is>
          <t>Straighteners</t>
        </is>
      </c>
      <c r="D30" s="10" t="inlineStr">
        <is>
          <t>C</t>
        </is>
      </c>
      <c r="E30" s="13" t="n">
        <v>2538</v>
      </c>
      <c r="F30" s="23" t="n">
        <v>8</v>
      </c>
      <c r="G30" s="23" t="n">
        <v>14</v>
      </c>
      <c r="H30" s="15">
        <f>ROUND(F30/30*G30*0.5,0)</f>
        <v/>
      </c>
      <c r="I30" s="15">
        <f>ROUND(F30/30*G30+H30,0)</f>
        <v/>
      </c>
      <c r="J30" s="15">
        <f>MAX(1,ROUND(F30*1.5,0))</f>
        <v/>
      </c>
      <c r="K30" s="13">
        <f>ROUND(E30*I30,0)</f>
        <v/>
      </c>
      <c r="L30" s="8" t="inlineStr">
        <is>
          <t>Fast mover. A stockout here costs a customer, not just a sale.</t>
        </is>
      </c>
    </row>
    <row r="31" ht="26" customHeight="1">
      <c r="A31" s="10" t="inlineStr">
        <is>
          <t>ETP-105</t>
        </is>
      </c>
      <c r="B31" s="8" t="inlineStr">
        <is>
          <t>Ikonic Black Beauty Hair Straightener by Genuine Collction</t>
        </is>
      </c>
      <c r="C31" s="10" t="inlineStr">
        <is>
          <t>Straighteners</t>
        </is>
      </c>
      <c r="D31" s="10" t="inlineStr">
        <is>
          <t>C</t>
        </is>
      </c>
      <c r="E31" s="13" t="n">
        <v>2356</v>
      </c>
      <c r="F31" s="23" t="n">
        <v>8</v>
      </c>
      <c r="G31" s="23" t="n">
        <v>14</v>
      </c>
      <c r="H31" s="15">
        <f>ROUND(F31/30*G31*0.5,0)</f>
        <v/>
      </c>
      <c r="I31" s="15">
        <f>ROUND(F31/30*G31+H31,0)</f>
        <v/>
      </c>
      <c r="J31" s="15">
        <f>MAX(1,ROUND(F31*1.5,0))</f>
        <v/>
      </c>
      <c r="K31" s="13">
        <f>ROUND(E31*I31,0)</f>
        <v/>
      </c>
      <c r="L31" s="8" t="inlineStr">
        <is>
          <t>Fast mover. A stockout here costs a customer, not just a sale.</t>
        </is>
      </c>
    </row>
    <row r="32" ht="26" customHeight="1">
      <c r="A32" s="10" t="inlineStr">
        <is>
          <t>ETP-106</t>
        </is>
      </c>
      <c r="B32" s="8" t="inlineStr">
        <is>
          <t>Ikonic Me Black Beauty Hair Iron Hair Straightener Flat Iron Ceramic C</t>
        </is>
      </c>
      <c r="C32" s="10" t="inlineStr">
        <is>
          <t>Straighteners</t>
        </is>
      </c>
      <c r="D32" s="10" t="inlineStr">
        <is>
          <t>C</t>
        </is>
      </c>
      <c r="E32" s="13" t="n">
        <v>2334</v>
      </c>
      <c r="F32" s="23" t="n">
        <v>8</v>
      </c>
      <c r="G32" s="23" t="n">
        <v>14</v>
      </c>
      <c r="H32" s="15">
        <f>ROUND(F32/30*G32*0.5,0)</f>
        <v/>
      </c>
      <c r="I32" s="15">
        <f>ROUND(F32/30*G32+H32,0)</f>
        <v/>
      </c>
      <c r="J32" s="15">
        <f>MAX(1,ROUND(F32*1.5,0))</f>
        <v/>
      </c>
      <c r="K32" s="13">
        <f>ROUND(E32*I32,0)</f>
        <v/>
      </c>
      <c r="L32" s="8" t="inlineStr">
        <is>
          <t>Fast mover. A stockout here costs a customer, not just a sale.</t>
        </is>
      </c>
    </row>
    <row r="33" ht="26" customHeight="1">
      <c r="A33" s="10" t="inlineStr">
        <is>
          <t>ETP-107</t>
        </is>
      </c>
      <c r="B33" s="8" t="inlineStr">
        <is>
          <t>The Ultimate Glam &amp; Glide Box</t>
        </is>
      </c>
      <c r="C33" s="10" t="inlineStr">
        <is>
          <t>Straighteners</t>
        </is>
      </c>
      <c r="D33" s="10" t="inlineStr">
        <is>
          <t>C</t>
        </is>
      </c>
      <c r="E33" s="13" t="n">
        <v>4152</v>
      </c>
      <c r="F33" s="23" t="n">
        <v>8</v>
      </c>
      <c r="G33" s="23" t="n">
        <v>14</v>
      </c>
      <c r="H33" s="15">
        <f>ROUND(F33/30*G33*0.5,0)</f>
        <v/>
      </c>
      <c r="I33" s="15">
        <f>ROUND(F33/30*G33+H33,0)</f>
        <v/>
      </c>
      <c r="J33" s="15">
        <f>MAX(1,ROUND(F33*1.5,0))</f>
        <v/>
      </c>
      <c r="K33" s="13">
        <f>ROUND(E33*I33,0)</f>
        <v/>
      </c>
      <c r="L33" s="8" t="inlineStr">
        <is>
          <t>Fast mover. A stockout here costs a customer, not just a sale.</t>
        </is>
      </c>
    </row>
    <row r="34" ht="26" customHeight="1">
      <c r="A34" s="10" t="inlineStr">
        <is>
          <t>ETP-108</t>
        </is>
      </c>
      <c r="B34" s="8" t="inlineStr">
        <is>
          <t>Ikonic Me Simply Straight Hair Straightener</t>
        </is>
      </c>
      <c r="C34" s="10" t="inlineStr">
        <is>
          <t>Straighteners</t>
        </is>
      </c>
      <c r="D34" s="10" t="inlineStr">
        <is>
          <t>C</t>
        </is>
      </c>
      <c r="E34" s="13" t="n">
        <v>3960</v>
      </c>
      <c r="F34" s="23" t="n">
        <v>8</v>
      </c>
      <c r="G34" s="23" t="n">
        <v>14</v>
      </c>
      <c r="H34" s="15">
        <f>ROUND(F34/30*G34*0.5,0)</f>
        <v/>
      </c>
      <c r="I34" s="15">
        <f>ROUND(F34/30*G34+H34,0)</f>
        <v/>
      </c>
      <c r="J34" s="15">
        <f>MAX(1,ROUND(F34*1.5,0))</f>
        <v/>
      </c>
      <c r="K34" s="13">
        <f>ROUND(E34*I34,0)</f>
        <v/>
      </c>
      <c r="L34" s="8" t="inlineStr">
        <is>
          <t>Fast mover. A stockout here costs a customer, not just a sale.</t>
        </is>
      </c>
    </row>
    <row r="35">
      <c r="D35" s="24" t="inlineStr">
        <is>
          <t>TOTAL</t>
        </is>
      </c>
      <c r="K35" s="20">
        <f>SUM(K5:K34)</f>
        <v/>
      </c>
      <c r="L35" s="4" t="inlineStr">
        <is>
          <t>Total working capital locked in stock at these reorder points.</t>
        </is>
      </c>
    </row>
  </sheetData>
  <autoFilter ref="A4:L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6" customWidth="1" min="1" max="1"/>
    <col width="62" customWidth="1" min="2" max="2"/>
    <col width="34" customWidth="1" min="3" max="3"/>
    <col width="74" customWidth="1" min="4" max="4"/>
    <col width="16" customWidth="1" min="5" max="5"/>
  </cols>
  <sheetData>
    <row r="1" ht="24" customHeight="1">
      <c r="A1" s="1" t="inlineStr">
        <is>
          <t>SOURCES</t>
        </is>
      </c>
    </row>
    <row r="2" ht="15.75" customHeight="1">
      <c r="A2" s="2" t="inlineStr">
        <is>
          <t>Every factual claim in this workbook traces to a row here. Claims that could not be verified are marked as such rather than being quietly dropped.</t>
        </is>
      </c>
    </row>
    <row r="4" ht="30" customHeight="1">
      <c r="A4" s="9" t="inlineStr">
        <is>
          <t>#</t>
        </is>
      </c>
      <c r="B4" s="9" t="inlineStr">
        <is>
          <t>Claim</t>
        </is>
      </c>
      <c r="C4" s="9" t="inlineStr">
        <is>
          <t>Source</t>
        </is>
      </c>
      <c r="D4" s="9" t="inlineStr">
        <is>
          <t>URL</t>
        </is>
      </c>
      <c r="E4" s="9" t="inlineStr">
        <is>
          <t>Status</t>
        </is>
      </c>
    </row>
    <row r="5" ht="28" customHeight="1">
      <c r="A5" s="10" t="n">
        <v>1</v>
      </c>
      <c r="B5" s="8" t="inlineStr">
        <is>
          <t>Ikonic India catalogue: 320 SKUs with list price and MRP</t>
        </is>
      </c>
      <c r="C5" s="8" t="inlineStr">
        <is>
          <t>ikonicworld.com Shopify product feed</t>
        </is>
      </c>
      <c r="D5" s="8" t="inlineStr">
        <is>
          <t>https://www.ikonicworld.com/products.json</t>
        </is>
      </c>
      <c r="E5" s="6" t="inlineStr">
        <is>
          <t>VERIFIED</t>
        </is>
      </c>
    </row>
    <row r="6" ht="28" customHeight="1">
      <c r="A6" s="10" t="n">
        <v>2</v>
      </c>
      <c r="B6" s="8" t="inlineStr">
        <is>
          <t>Ikonic Barber Chair Felix INR 84,000 (MRP 105,000)</t>
        </is>
      </c>
      <c r="C6" s="8" t="inlineStr">
        <is>
          <t>Ikonic India official catalogue</t>
        </is>
      </c>
      <c r="D6" s="8" t="inlineStr">
        <is>
          <t>https://www.ikonicworld.com/collections/all</t>
        </is>
      </c>
      <c r="E6" s="6" t="inlineStr">
        <is>
          <t>VERIFIED</t>
        </is>
      </c>
    </row>
    <row r="7" ht="28" customHeight="1">
      <c r="A7" s="10" t="n">
        <v>3</v>
      </c>
      <c r="B7" s="8" t="inlineStr">
        <is>
          <t>Ikonic Pedicure Station Royal INR 200,000 (MRP 250,000)</t>
        </is>
      </c>
      <c r="C7" s="8" t="inlineStr">
        <is>
          <t>Ikonic India official catalogue</t>
        </is>
      </c>
      <c r="D7" s="8" t="inlineStr">
        <is>
          <t>https://www.ikonicworld.com/collections/all</t>
        </is>
      </c>
      <c r="E7" s="6" t="inlineStr">
        <is>
          <t>VERIFIED</t>
        </is>
      </c>
    </row>
    <row r="8" ht="28" customHeight="1">
      <c r="A8" s="10" t="n">
        <v>4</v>
      </c>
      <c r="B8" s="8" t="inlineStr">
        <is>
          <t>Pro Titanium Shine 3.0 listed NPR 12,950 on Daraz Nepal</t>
        </is>
      </c>
      <c r="C8" s="8" t="inlineStr">
        <is>
          <t>Daraz Nepal live product page</t>
        </is>
      </c>
      <c r="D8" s="8" t="inlineStr">
        <is>
          <t>https://www.daraz.com.np/products/ikonic-professional-pro-titanium-shine-30-hair-straightener-i436027159.html</t>
        </is>
      </c>
      <c r="E8" s="6" t="inlineStr">
        <is>
          <t>VERIFIED</t>
        </is>
      </c>
    </row>
    <row r="9" ht="28" customHeight="1">
      <c r="A9" s="10" t="n">
        <v>5</v>
      </c>
      <c r="B9" s="8" t="inlineStr">
        <is>
          <t>Gleam 3.0 (1 inch slim floating, titanium) NPR 12,580</t>
        </is>
      </c>
      <c r="C9" s="8" t="inlineStr">
        <is>
          <t>Daraz Nepal live product page</t>
        </is>
      </c>
      <c r="D9" s="8" t="inlineStr">
        <is>
          <t>https://www.daraz.com.np/products/ikonic-gleam-30-hair-iron-hair-straightener-or-flat-iron-with-1-inch-slim-floating-rose-gold-with-titanium-plates-1-year-warranty-i295071849.html</t>
        </is>
      </c>
      <c r="E9" s="6" t="inlineStr">
        <is>
          <t>VERIFIED</t>
        </is>
      </c>
    </row>
    <row r="10" ht="28" customHeight="1">
      <c r="A10" s="10" t="n">
        <v>6</v>
      </c>
      <c r="B10" s="8" t="inlineStr">
        <is>
          <t>HD Pro 2500+ Hair Dryer (Black) NPR 10,360</t>
        </is>
      </c>
      <c r="C10" s="8" t="inlineStr">
        <is>
          <t>Daraz Nepal live product page</t>
        </is>
      </c>
      <c r="D10" s="8" t="inlineStr">
        <is>
          <t>https://www.daraz.com.np/products/ikonic-professional-hd-pro-2500-hair-dryer-black-high-performance-motor-i130207036.html</t>
        </is>
      </c>
      <c r="E10" s="6" t="inlineStr">
        <is>
          <t>VERIFIED</t>
        </is>
      </c>
    </row>
    <row r="11" ht="28" customHeight="1">
      <c r="A11" s="10" t="n">
        <v>7</v>
      </c>
      <c r="B11" s="8" t="inlineStr">
        <is>
          <t>Hair Dryer Pro 2500+ NPR 11,300</t>
        </is>
      </c>
      <c r="C11" s="8" t="inlineStr">
        <is>
          <t>Daraz Nepal live product page</t>
        </is>
      </c>
      <c r="D11" s="8" t="inlineStr">
        <is>
          <t>https://www.daraz.com.np/products/ikonic-professional-hair-dryer-pro-2500-black-i105941802.html</t>
        </is>
      </c>
      <c r="E11" s="6" t="inlineStr">
        <is>
          <t>VERIFIED</t>
        </is>
      </c>
    </row>
    <row r="12" ht="28" customHeight="1">
      <c r="A12" s="10" t="n">
        <v>8</v>
      </c>
      <c r="B12" s="8" t="inlineStr">
        <is>
          <t>IC Pro Titanium Shine 3.0 NPR 14,200</t>
        </is>
      </c>
      <c r="C12" s="8" t="inlineStr">
        <is>
          <t>Daraz Nepal live product page</t>
        </is>
      </c>
      <c r="D12" s="8" t="inlineStr">
        <is>
          <t>https://www.daraz.com.np/products/ikonic-pro-titanium-shine-hair-straightner-30-by-genuine-collection-i105408431.html</t>
        </is>
      </c>
      <c r="E12" s="6" t="inlineStr">
        <is>
          <t>VERIFIED</t>
        </is>
      </c>
    </row>
    <row r="13" ht="28" customHeight="1">
      <c r="A13" s="10" t="n">
        <v>9</v>
      </c>
      <c r="B13" s="8" t="inlineStr">
        <is>
          <t>Travel Express Hair Dryer 1400W NPR 2,729</t>
        </is>
      </c>
      <c r="C13" s="8" t="inlineStr">
        <is>
          <t>Daraz Nepal live product page</t>
        </is>
      </c>
      <c r="D13" s="8" t="inlineStr">
        <is>
          <t>https://www.daraz.com.np/catalog/?q=ikonic+travel+express+hair+dryer</t>
        </is>
      </c>
      <c r="E13" s="6" t="inlineStr">
        <is>
          <t>VERIFIED</t>
        </is>
      </c>
    </row>
    <row r="14" ht="28" customHeight="1">
      <c r="A14" s="10" t="n">
        <v>10</v>
      </c>
      <c r="B14" s="8" t="inlineStr">
        <is>
          <t>3 in 1 Express Styler 1200W from NPR 5,016</t>
        </is>
      </c>
      <c r="C14" s="8" t="inlineStr">
        <is>
          <t>Daraz Nepal live product page</t>
        </is>
      </c>
      <c r="D14" s="8" t="inlineStr">
        <is>
          <t>https://www.daraz.com.np/products/ikonic-me-3-in-1-express-styler-1200w-multi-hair-styler-i160171636.html</t>
        </is>
      </c>
      <c r="E14" s="6" t="inlineStr">
        <is>
          <t>VERIFIED</t>
        </is>
      </c>
    </row>
    <row r="15" ht="28" customHeight="1">
      <c r="A15" s="10" t="n">
        <v>11</v>
      </c>
      <c r="B15" s="8" t="inlineStr">
        <is>
          <t>Nepal VAT 13%, charged on CIF + customs duty</t>
        </is>
      </c>
      <c r="C15" s="8" t="inlineStr">
        <is>
          <t>Nepal tax practitioner guidance</t>
        </is>
      </c>
      <c r="D15" s="8" t="inlineStr">
        <is>
          <t>https://taxconsultantnepal.com/custom-duty-on-imports-in-nepal/</t>
        </is>
      </c>
      <c r="E15" s="6" t="inlineStr">
        <is>
          <t>VERIFIED</t>
        </is>
      </c>
    </row>
    <row r="16" ht="28" customHeight="1">
      <c r="A16" s="10" t="n">
        <v>12</v>
      </c>
      <c r="B16" s="8" t="inlineStr">
        <is>
          <t>Nepal customs duty ranges 0-80% ad valorem on CIF</t>
        </is>
      </c>
      <c r="C16" s="8" t="inlineStr">
        <is>
          <t>Nepal import duty guidance</t>
        </is>
      </c>
      <c r="D16" s="8" t="inlineStr">
        <is>
          <t>https://corporatenp.com/post/import-duty-rate-nepal-hs-code-customs-tariff</t>
        </is>
      </c>
      <c r="E16" s="6" t="inlineStr">
        <is>
          <t>VERIFIED</t>
        </is>
      </c>
    </row>
    <row r="17" ht="28" customHeight="1">
      <c r="A17" s="10" t="n">
        <v>13</v>
      </c>
      <c r="B17" s="8" t="inlineStr">
        <is>
          <t>SAFTA: India-origin goods get ~5% duty reduction (&lt;=30%), ~7% (&gt;30%)</t>
        </is>
      </c>
      <c r="C17" s="8" t="inlineStr">
        <is>
          <t>Nepal customs guidance</t>
        </is>
      </c>
      <c r="D17" s="8" t="inlineStr">
        <is>
          <t>https://indonepaltrade.com/nepal-customs-duty-rates-2026/</t>
        </is>
      </c>
      <c r="E17" s="6" t="inlineStr">
        <is>
          <t>VERIFIED</t>
        </is>
      </c>
    </row>
    <row r="18" ht="28" customHeight="1">
      <c r="A18" s="10" t="n">
        <v>14</v>
      </c>
      <c r="B18" s="8" t="inlineStr">
        <is>
          <t>Daraz commission ~1.7-6% appliances, +~1.25% payout fee</t>
        </is>
      </c>
      <c r="C18" s="8" t="inlineStr">
        <is>
          <t>Daraz commission structure documentation</t>
        </is>
      </c>
      <c r="D18" s="8" t="inlineStr">
        <is>
          <t>https://sellerdash.pk/blogs/daraz-commission-calculator</t>
        </is>
      </c>
      <c r="E18" s="7" t="inlineStr">
        <is>
          <t>CONFIRM in your own seller dashboard</t>
        </is>
      </c>
    </row>
    <row r="19" ht="28" customHeight="1">
      <c r="A19" s="10" t="n">
        <v>15</v>
      </c>
      <c r="B19" s="8" t="inlineStr">
        <is>
          <t>NPR pegged to INR at 1.60</t>
        </is>
      </c>
      <c r="C19" s="8" t="inlineStr">
        <is>
          <t>Nepal Rastra Bank peg, in place since 1993</t>
        </is>
      </c>
      <c r="D19" s="8" t="inlineStr">
        <is>
          <t>https://www.nrb.org.np/</t>
        </is>
      </c>
      <c r="E19" s="7" t="inlineStr">
        <is>
          <t>CONFIRM current NRB rate sheet before a large order</t>
        </is>
      </c>
    </row>
    <row r="20" ht="28" customHeight="1">
      <c r="A20" s="10" t="n">
        <v>16</v>
      </c>
      <c r="B20" s="8" t="inlineStr">
        <is>
          <t>Exact customs duty rate for HS 8516 / 9402</t>
        </is>
      </c>
      <c r="C20" s="8" t="inlineStr">
        <is>
          <t>Nepal Department of Customs annual tariff</t>
        </is>
      </c>
      <c r="D20" s="8" t="inlineStr">
        <is>
          <t>https://giwmscdntwo.gov.np/media/files/Customs%20Tariff%202024-25_zz1tedk.pdf</t>
        </is>
      </c>
      <c r="E20" s="7" t="inlineStr">
        <is>
          <t>NOT VERIFIED - ask your clearing agent</t>
        </is>
      </c>
    </row>
    <row r="21" ht="28" customHeight="1">
      <c r="A21" s="10" t="n">
        <v>17</v>
      </c>
      <c r="B21" s="8" t="inlineStr">
        <is>
          <t>Salon furniture absent from Daraz Nepal</t>
        </is>
      </c>
      <c r="C21" s="8" t="inlineStr">
        <is>
          <t>Daraz Nepal searches run during research</t>
        </is>
      </c>
      <c r="D21" s="8" t="inlineStr">
        <is>
          <t>https://www.daraz.com.np/catalog/?q=barber+chair+salon+hydraulic</t>
        </is>
      </c>
      <c r="E21" s="7" t="inlineStr">
        <is>
          <t>VERIFIED - searches returned office chairs only</t>
        </is>
      </c>
    </row>
    <row r="22" ht="28" customHeight="1">
      <c r="A22" s="10" t="n">
        <v>18</v>
      </c>
      <c r="B22" s="8" t="inlineStr">
        <is>
          <t>"Silk Hair" brand catalogue and pricing</t>
        </is>
      </c>
      <c r="C22" s="8" t="inlineStr">
        <is>
          <t>No public catalogue found</t>
        </is>
      </c>
      <c r="D22" s="8" t="inlineStr">
        <is>
          <t>n/a</t>
        </is>
      </c>
      <c r="E22" s="7" t="inlineStr">
        <is>
          <t>NOT VERIFIED - send supplier price list</t>
        </is>
      </c>
    </row>
    <row r="23" ht="28" customHeight="1">
      <c r="A23" s="10" t="n">
        <v>19</v>
      </c>
      <c r="B23" s="8" t="inlineStr">
        <is>
          <t>"Qween" lipstick catalogue and pricing</t>
        </is>
      </c>
      <c r="C23" s="8" t="inlineStr">
        <is>
          <t>No Daraz Nepal presence; search returns unrelated products</t>
        </is>
      </c>
      <c r="D23" s="8" t="inlineStr">
        <is>
          <t>https://www.daraz.com.np/catalog/?q=qween</t>
        </is>
      </c>
      <c r="E23" s="7" t="inlineStr">
        <is>
          <t>NOT VERIFIED - send supplier price list</t>
        </is>
      </c>
    </row>
    <row r="24" ht="28" customHeight="1">
      <c r="A24" s="10" t="n">
        <v>20</v>
      </c>
      <c r="B24" s="8" t="inlineStr">
        <is>
          <t>7-in-1 hydrafacial machine India FOB price</t>
        </is>
      </c>
      <c r="C24" s="8" t="inlineStr">
        <is>
          <t>Not found at professional grade</t>
        </is>
      </c>
      <c r="D24" s="8" t="inlineStr">
        <is>
          <t>n/a</t>
        </is>
      </c>
      <c r="E24" s="7" t="inlineStr">
        <is>
          <t>NOT VERIFIED - enter your real FOB in Unit Economics B44</t>
        </is>
      </c>
    </row>
  </sheetData>
  <autoFilter ref="A4: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2026-08-09T00:29:24Z</dcterms:created>
  <dcterms:modified xmlns:dcterms="http://purl.org/dc/terms/" xmlns:xsi="http://www.w3.org/2001/XMLSchema-instance" xsi:type="dcterms:W3CDTF">2026-08-09T00:29:24Z</dcterms:modified>
</cp:coreProperties>
</file>